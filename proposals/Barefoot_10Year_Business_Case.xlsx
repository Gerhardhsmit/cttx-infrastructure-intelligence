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usiness Case" sheetId="1" state="visible" r:id="rId1"/>
    <sheet name="2. CAPEX Build Cost" sheetId="2" state="visible" r:id="rId2"/>
    <sheet name="3. Monthly Cost Comparison" sheetId="3" state="visible" r:id="rId3"/>
    <sheet name="4. 10-Year Cash Flow" sheetId="4" state="visible" r:id="rId4"/>
    <sheet name="5. Assumptions &amp; Sc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&quot;#,##0.00;(&quot;R&quot;#,##0.00);&quot;-&quot;"/>
    <numFmt numFmtId="165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C00000"/>
      <sz val="9"/>
    </font>
    <font>
      <name val="Arial"/>
      <b val="1"/>
      <color rgb="000000FF"/>
      <sz val="10"/>
    </font>
    <font>
      <name val="Arial"/>
      <b val="1"/>
      <sz val="12"/>
    </font>
    <font>
      <name val="Arial"/>
      <b val="1"/>
      <color rgb="001F3864"/>
      <sz val="12"/>
    </font>
    <font>
      <name val="Arial"/>
      <b val="1"/>
      <sz val="11"/>
    </font>
    <font>
      <name val="Arial"/>
      <b val="1"/>
      <color rgb="00008000"/>
      <sz val="11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008000"/>
      <sz val="12"/>
    </font>
    <font>
      <name val="Arial"/>
      <i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164" fontId="6" fillId="5" borderId="0" pivotButton="0" quotePrefix="0" xfId="0"/>
    <xf numFmtId="0" fontId="7" fillId="0" borderId="0" pivotButton="0" quotePrefix="0" xfId="0"/>
    <xf numFmtId="164" fontId="6" fillId="0" borderId="0" pivotButton="0" quotePrefix="0" xfId="0"/>
    <xf numFmtId="0" fontId="5" fillId="0" borderId="0" pivotButton="0" quotePrefix="0" xfId="0"/>
    <xf numFmtId="165" fontId="8" fillId="6" borderId="0" pivotButton="0" quotePrefix="0" xfId="0"/>
    <xf numFmtId="164" fontId="5" fillId="0" borderId="0" pivotButton="0" quotePrefix="0" xfId="0"/>
    <xf numFmtId="0" fontId="9" fillId="0" borderId="0" pivotButton="0" quotePrefix="0" xfId="0"/>
    <xf numFmtId="164" fontId="10" fillId="5" borderId="0" pivotButton="0" quotePrefix="0" xfId="0"/>
    <xf numFmtId="0" fontId="11" fillId="0" borderId="0" pivotButton="0" quotePrefix="0" xfId="0"/>
    <xf numFmtId="164" fontId="12" fillId="0" borderId="0" pivotButton="0" quotePrefix="0" xfId="0"/>
    <xf numFmtId="0" fontId="4" fillId="4" borderId="0" applyAlignment="1" pivotButton="0" quotePrefix="0" xfId="0">
      <alignment horizontal="center"/>
    </xf>
    <xf numFmtId="164" fontId="0" fillId="0" borderId="0" pivotButton="0" quotePrefix="0" xfId="0"/>
    <xf numFmtId="164" fontId="13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14" fillId="5" borderId="0" pivotButton="0" quotePrefix="0" xfId="0"/>
    <xf numFmtId="164" fontId="15" fillId="5" borderId="0" pivotButton="0" quotePrefix="0" xfId="0"/>
    <xf numFmtId="0" fontId="5" fillId="0" borderId="0" applyAlignment="1" pivotButton="0" quotePrefix="0" xfId="0">
      <alignment vertical="top" wrapText="1"/>
    </xf>
    <xf numFmtId="0" fontId="16" fillId="0" borderId="0" pivotButton="0" quotePrefix="0" xfId="0"/>
    <xf numFmtId="164" fontId="10" fillId="5" borderId="0" applyAlignment="1" pivotButton="0" quotePrefix="0" xfId="0">
      <alignment horizontal="right"/>
    </xf>
    <xf numFmtId="49" fontId="10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Cost: Stay with Herotel vs Build with CTTX</a:t>
            </a:r>
          </a:p>
        </rich>
      </tx>
    </title>
    <plotArea>
      <lineChart>
        <grouping val="standard"/>
        <ser>
          <idx val="0"/>
          <order val="0"/>
          <tx>
            <strRef>
              <f>'4. 10-Year Cash Flow'!A10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'4. 10-Year Cash Flow'!$B$6:$L$6</f>
            </numRef>
          </cat>
          <val>
            <numRef>
              <f>'4. 10-Year Cash Flow'!$B$10:$L$10</f>
            </numRef>
          </val>
          <smooth val="0"/>
        </ser>
        <ser>
          <idx val="1"/>
          <order val="1"/>
          <tx>
            <strRef>
              <f>'4. 10-Year Cash Flow'!A17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'4. 10-Year Cash Flow'!$B$6:$L$6</f>
            </numRef>
          </cat>
          <val>
            <numRef>
              <f>'4. 10-Year Cash Flow'!$B$17:$L$17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Cost (R, incl. VAT)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Barefoot Addo Elephant Lodge — Own-Network Business Case</t>
        </is>
      </c>
    </row>
    <row r="2">
      <c r="A2" s="27" t="inlineStr">
        <is>
          <t>Why build a private carrier-grade network instead of continuing to rent one, month after month, forever.</t>
        </is>
      </c>
    </row>
    <row r="4">
      <c r="A4" s="12" t="inlineStr">
        <is>
          <t>Prepared for: Barefoot Addo Elephant Lodge (Pty) Ltd owners (Port Elizabeth)</t>
        </is>
      </c>
    </row>
    <row r="5">
      <c r="A5" s="12" t="inlineStr">
        <is>
          <t>Prepared by: Gerhard Smit, CTTX Services (Pty) Ltd</t>
        </is>
      </c>
    </row>
    <row r="6">
      <c r="A6" s="12" t="inlineStr">
        <is>
          <t>Date: 26 September 2026</t>
        </is>
      </c>
    </row>
    <row r="8">
      <c r="A8" s="3" t="inlineStr">
        <is>
          <t>The Simple Version</t>
        </is>
      </c>
    </row>
    <row r="9" ht="70" customHeight="1">
      <c r="A9" s="26" t="inlineStr">
        <is>
          <t>Right now the lodge pays a monthly bill to Herotel forever, for equipment it will never own, on a network it does not control. This proposal is the alternative: pay once to build a private network on your own engineered mast, then pay a much smaller monthly fee for the carrier link that feeds it. The network is built to run for 10 years, and CTTX supports it for that whole period.</t>
        </is>
      </c>
    </row>
    <row r="10"/>
    <row r="11"/>
    <row r="13">
      <c r="A13" s="3" t="inlineStr">
        <is>
          <t>Headline Numbers</t>
        </is>
      </c>
    </row>
    <row r="14">
      <c r="A14" s="8" t="inlineStr">
        <is>
          <t>One-time build cost (infrastructure, owned by the lodge)</t>
        </is>
      </c>
      <c r="E14" s="28">
        <f>'2. CAPEX Build Cost'!E40</f>
        <v/>
      </c>
    </row>
    <row r="15">
      <c r="A15" s="8" t="inlineStr">
        <is>
          <t>Current Herotel monthly bill (connectivity + rented Wi-Fi equipment)</t>
        </is>
      </c>
      <c r="E15" s="28">
        <f>'3. Monthly Cost Comparison'!C11</f>
        <v/>
      </c>
    </row>
    <row r="16">
      <c r="A16" s="8" t="inlineStr">
        <is>
          <t>New monthly bill once built (Vodacom link + CTTX monitoring - recommended)</t>
        </is>
      </c>
      <c r="E16" s="28">
        <f>'3. Monthly Cost Comparison'!C26</f>
        <v/>
      </c>
    </row>
    <row r="17">
      <c r="A17" s="8" t="inlineStr">
        <is>
          <t>Monthly saving once built</t>
        </is>
      </c>
      <c r="E17" s="28">
        <f>E15-E16</f>
        <v/>
      </c>
    </row>
    <row r="18">
      <c r="A18" s="8" t="inlineStr">
        <is>
          <t>Time to pay back the build cost</t>
        </is>
      </c>
      <c r="E18" s="29">
        <f>'4. 10-Year Cash Flow'!B28</f>
        <v/>
      </c>
    </row>
    <row r="19">
      <c r="A19" s="8" t="inlineStr">
        <is>
          <t>Total saved over 10 years vs staying with Herotel</t>
        </is>
      </c>
      <c r="E19" s="28">
        <f>'4. 10-Year Cash Flow'!M30</f>
        <v/>
      </c>
    </row>
    <row r="21">
      <c r="A21" s="3" t="inlineStr">
        <is>
          <t>Why This Makes Sense Over 10 Years</t>
        </is>
      </c>
    </row>
    <row r="22" ht="28" customHeight="1">
      <c r="A22" s="26" t="inlineStr">
        <is>
          <t>1. The lodge currently pays for connectivity AND for the right to use someone else's Wi-Fi equipment, every month, indefinitely. Nothing is ever owned.</t>
        </is>
      </c>
    </row>
    <row r="23" ht="28" customHeight="1">
      <c r="A23" s="26" t="inlineStr">
        <is>
          <t>2. The existing backhaul radios are mounted on a leaning gum pole - not an engineered structure. That is a physical failure risk, separate from the cost problem.</t>
        </is>
      </c>
    </row>
    <row r="24" ht="28" customHeight="1">
      <c r="A24" s="26" t="inlineStr">
        <is>
          <t>3. Building a private network converts a forever-rising monthly rental into a one-time build cost plus a much smaller ongoing carrier fee for just the connectivity - the Wi-Fi equipment, the mast, and the solar power all become the lodge's own asset.</t>
        </is>
      </c>
    </row>
    <row r="25" ht="28" customHeight="1">
      <c r="A25" s="26" t="inlineStr">
        <is>
          <t>4. CTTX designs, builds, and supports this network for an expected 10-year working life - see tab 5 for what that support includes and excludes.</t>
        </is>
      </c>
    </row>
    <row r="26" ht="28" customHeight="1">
      <c r="A26" s="26" t="inlineStr">
        <is>
          <t>5. See tab 4 for the year-by-year numbers: the build cost is recovered from the monthly saving within the payback period shown above, and every month after that is money the lodge keeps instead of sending to a telecoms reseller.</t>
        </is>
      </c>
    </row>
    <row r="28">
      <c r="A28" s="10" t="inlineStr">
        <is>
          <t>Full cost detail: tab 2 (build cost), tab 3 (monthly comparison), tab 4 (10-year cash flow), tab 5 (assumptions - read this before trusting any number on this page).</t>
        </is>
      </c>
    </row>
  </sheetData>
  <mergeCells count="18">
    <mergeCell ref="A24:F24"/>
    <mergeCell ref="A2:F2"/>
    <mergeCell ref="A17:D17"/>
    <mergeCell ref="A18:D18"/>
    <mergeCell ref="A28:F28"/>
    <mergeCell ref="A13:F13"/>
    <mergeCell ref="A9:F11"/>
    <mergeCell ref="A1:F1"/>
    <mergeCell ref="A23:F23"/>
    <mergeCell ref="A8:F8"/>
    <mergeCell ref="A15:D15"/>
    <mergeCell ref="A22:F22"/>
    <mergeCell ref="A16:D16"/>
    <mergeCell ref="A19:D19"/>
    <mergeCell ref="A26:F26"/>
    <mergeCell ref="A21:F21"/>
    <mergeCell ref="A25:F2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8" customWidth="1" min="4" max="4"/>
    <col width="16" customWidth="1" min="5" max="5"/>
    <col width="16" customWidth="1" min="6" max="6"/>
  </cols>
  <sheetData>
    <row r="1" ht="28" customHeight="1">
      <c r="A1" s="1" t="inlineStr">
        <is>
          <t>One-Time Build Cost (CAPEX)</t>
        </is>
      </c>
    </row>
    <row r="2">
      <c r="A2" s="2" t="inlineStr">
        <is>
          <t>All prices exclude VAT unless marked. Source: Duxbury Networking Quote DUX00455421 v2 + CTTX rate card + CTTX labour estimate.</t>
        </is>
      </c>
    </row>
    <row r="4">
      <c r="A4" s="3" t="inlineStr">
        <is>
          <t>Hardware BOM</t>
        </is>
      </c>
    </row>
    <row r="5">
      <c r="A5" s="4" t="inlineStr">
        <is>
          <t>Item</t>
        </is>
      </c>
      <c r="B5" s="4" t="inlineStr">
        <is>
          <t>Model</t>
        </is>
      </c>
      <c r="C5" s="5" t="inlineStr">
        <is>
          <t>Qty</t>
        </is>
      </c>
      <c r="D5" s="5" t="inlineStr">
        <is>
          <t>Unit Price</t>
        </is>
      </c>
      <c r="E5" s="5" t="inlineStr">
        <is>
          <t>Total</t>
        </is>
      </c>
      <c r="F5" s="4" t="n"/>
    </row>
    <row r="6">
      <c r="A6" s="6" t="inlineStr">
        <is>
          <t>Backhaul Base Station</t>
        </is>
      </c>
      <c r="B6" s="6" t="inlineStr">
        <is>
          <t>Cambium ePMP 4500L 5GHz AP, 2x2, AC PoE</t>
        </is>
      </c>
      <c r="C6" s="6" t="n">
        <v>2</v>
      </c>
      <c r="D6" s="7" t="n">
        <v>8470</v>
      </c>
      <c r="E6" s="7">
        <f>C6*D6</f>
        <v/>
      </c>
    </row>
    <row r="7">
      <c r="A7" s="6" t="inlineStr">
        <is>
          <t>Sector Antenna</t>
        </is>
      </c>
      <c r="B7" s="6" t="inlineStr">
        <is>
          <t>ePMP Sector Antenna 5GHz 90/120deg</t>
        </is>
      </c>
      <c r="C7" s="6" t="n">
        <v>2</v>
      </c>
      <c r="D7" s="7" t="n">
        <v>3209</v>
      </c>
      <c r="E7" s="7">
        <f>C7*D7</f>
        <v/>
      </c>
    </row>
    <row r="8">
      <c r="A8" s="6" t="inlineStr">
        <is>
          <t>Subscriber Modules</t>
        </is>
      </c>
      <c r="B8" s="6" t="inlineStr">
        <is>
          <t>Cambium ePMP Force 4525L, 25dBi</t>
        </is>
      </c>
      <c r="C8" s="6" t="n">
        <v>28</v>
      </c>
      <c r="D8" s="7" t="n">
        <v>2745</v>
      </c>
      <c r="E8" s="7">
        <f>C8*D8</f>
        <v/>
      </c>
    </row>
    <row r="9">
      <c r="A9" s="6" t="inlineStr">
        <is>
          <t>Indoor Access Points</t>
        </is>
      </c>
      <c r="B9" s="6" t="inlineStr">
        <is>
          <t>DuxNet Wi-Fi 6 Ceiling AP, 1Gb WAN/LAN</t>
        </is>
      </c>
      <c r="C9" s="6" t="n">
        <v>28</v>
      </c>
      <c r="D9" s="7" t="n">
        <v>1025</v>
      </c>
      <c r="E9" s="7">
        <f>C9*D9</f>
        <v/>
      </c>
    </row>
    <row r="10">
      <c r="A10" s="6" t="inlineStr">
        <is>
          <t>Outdoor Access Points</t>
        </is>
      </c>
      <c r="B10" s="6" t="inlineStr">
        <is>
          <t>DuxNet Outdoor Dual-Band Wi-Fi 6 AP</t>
        </is>
      </c>
      <c r="C10" s="6" t="n">
        <v>2</v>
      </c>
      <c r="D10" s="7" t="n">
        <v>1885</v>
      </c>
      <c r="E10" s="7">
        <f>C10*D10</f>
        <v/>
      </c>
    </row>
    <row r="11">
      <c r="A11" s="6" t="inlineStr">
        <is>
          <t>Network Switches</t>
        </is>
      </c>
      <c r="B11" s="6" t="inlineStr">
        <is>
          <t>DuxNet 8-Port Gigabit PoE+ L2 Cloud Switch</t>
        </is>
      </c>
      <c r="C11" s="6" t="n">
        <v>4</v>
      </c>
      <c r="D11" s="7" t="n">
        <v>1899</v>
      </c>
      <c r="E11" s="7">
        <f>C11*D11</f>
        <v/>
      </c>
    </row>
    <row r="12">
      <c r="A12" s="8" t="inlineStr">
        <is>
          <t>Hardware Subtotal</t>
        </is>
      </c>
      <c r="E12" s="9">
        <f>SUM(E6:E11)</f>
        <v/>
      </c>
    </row>
    <row r="14">
      <c r="A14" s="3" t="inlineStr">
        <is>
          <t>Outdoor Infrastructure &amp; Civil</t>
        </is>
      </c>
    </row>
    <row r="15">
      <c r="A15" s="2" t="inlineStr">
        <is>
          <t>Not standard rate-card items - priced as supplier/stock quotes specific to this site (per Gerhard, confirmed 25-26 Sept 2026).</t>
        </is>
      </c>
    </row>
    <row r="16">
      <c r="A16" s="4" t="inlineStr">
        <is>
          <t>Item</t>
        </is>
      </c>
      <c r="B16" s="4" t="inlineStr">
        <is>
          <t>Model</t>
        </is>
      </c>
      <c r="C16" s="5" t="inlineStr">
        <is>
          <t>Qty</t>
        </is>
      </c>
      <c r="D16" s="5" t="inlineStr">
        <is>
          <t>Unit Price</t>
        </is>
      </c>
      <c r="E16" s="5" t="inlineStr">
        <is>
          <t>Total</t>
        </is>
      </c>
      <c r="F16" s="4" t="n"/>
    </row>
    <row r="17">
      <c r="A17" s="6" t="inlineStr">
        <is>
          <t>9m Steel Mast with Plinth, installed</t>
        </is>
      </c>
      <c r="B17" s="6" t="inlineStr">
        <is>
          <t>CTTX second-hand stock; replaces existing gum-pole mount</t>
        </is>
      </c>
      <c r="C17" s="6" t="n">
        <v>1</v>
      </c>
      <c r="D17" s="7" t="n">
        <v>38700</v>
      </c>
      <c r="E17" s="7">
        <f>C17*D17</f>
        <v/>
      </c>
    </row>
    <row r="18">
      <c r="A18" s="6" t="inlineStr">
        <is>
          <t>Outdoor Cabinet</t>
        </is>
      </c>
      <c r="B18" s="6" t="inlineStr">
        <is>
          <t>w/ MPPT Charge Controller &amp; Lithium Battery Switchgear</t>
        </is>
      </c>
      <c r="C18" s="6" t="n">
        <v>1</v>
      </c>
      <c r="D18" s="7" t="n">
        <v>28670</v>
      </c>
      <c r="E18" s="7">
        <f>C18*D18</f>
        <v/>
      </c>
    </row>
    <row r="19">
      <c r="A19" s="6" t="inlineStr">
        <is>
          <t>Solar Panels</t>
        </is>
      </c>
      <c r="B19" s="6" t="inlineStr">
        <is>
          <t>Canadian Solar 680W Monocrystalline</t>
        </is>
      </c>
      <c r="C19" s="6" t="n">
        <v>4</v>
      </c>
      <c r="D19" s="7" t="n">
        <v>2200</v>
      </c>
      <c r="E19" s="7">
        <f>C19*D19</f>
        <v/>
      </c>
    </row>
    <row r="20">
      <c r="A20" s="6" t="inlineStr">
        <is>
          <t>Grid/Solar Inverter</t>
        </is>
      </c>
      <c r="B20" s="6" t="inlineStr"/>
      <c r="C20" s="6" t="n">
        <v>1</v>
      </c>
      <c r="D20" s="7" t="n">
        <v>2150</v>
      </c>
      <c r="E20" s="7">
        <f>C20*D20</f>
        <v/>
      </c>
    </row>
    <row r="21">
      <c r="A21" s="6" t="inlineStr">
        <is>
          <t>Outdoor Cabling</t>
        </is>
      </c>
      <c r="B21" s="6" t="inlineStr">
        <is>
          <t>Mast-to-cabinet, WAN, AP runs (avg. 40m run - confirm at survey)</t>
        </is>
      </c>
      <c r="C21" s="6" t="n">
        <v>40</v>
      </c>
      <c r="D21" s="7" t="n">
        <v>12</v>
      </c>
      <c r="E21" s="7">
        <f>C21*D21</f>
        <v/>
      </c>
    </row>
    <row r="22">
      <c r="A22" s="6" t="inlineStr">
        <is>
          <t>Mounting Brackets &amp; Hardware</t>
        </is>
      </c>
      <c r="B22" s="6" t="inlineStr">
        <is>
          <t>Radio, AP, and solar mounts</t>
        </is>
      </c>
      <c r="C22" s="6" t="n">
        <v>15</v>
      </c>
      <c r="D22" s="7" t="n">
        <v>450</v>
      </c>
      <c r="E22" s="7">
        <f>C22*D22</f>
        <v/>
      </c>
    </row>
    <row r="23">
      <c r="A23" s="8" t="inlineStr">
        <is>
          <t>Infrastructure Subtotal</t>
        </is>
      </c>
      <c r="E23" s="9">
        <f>SUM(E17:E22)</f>
        <v/>
      </c>
    </row>
    <row r="25">
      <c r="A25" s="3" t="inlineStr">
        <is>
          <t>Labour</t>
        </is>
      </c>
    </row>
    <row r="26">
      <c r="A26" s="4" t="inlineStr">
        <is>
          <t>Task</t>
        </is>
      </c>
      <c r="B26" s="4" t="inlineStr">
        <is>
          <t>Notes</t>
        </is>
      </c>
      <c r="C26" s="5" t="inlineStr">
        <is>
          <t>Days/Units</t>
        </is>
      </c>
      <c r="D26" s="5" t="inlineStr">
        <is>
          <t>Rate</t>
        </is>
      </c>
      <c r="E26" s="5" t="inlineStr">
        <is>
          <t>Total</t>
        </is>
      </c>
      <c r="F26" s="4" t="n"/>
    </row>
    <row r="27">
      <c r="A27" s="6" t="inlineStr">
        <is>
          <t>Site survey and design</t>
        </is>
      </c>
      <c r="B27" s="6" t="inlineStr">
        <is>
          <t>1 day</t>
        </is>
      </c>
      <c r="C27" s="6" t="n">
        <v>1</v>
      </c>
      <c r="D27" s="7" t="n">
        <v>4500</v>
      </c>
      <c r="E27" s="7">
        <f>C27*D27</f>
        <v/>
      </c>
    </row>
    <row r="28">
      <c r="A28" s="6" t="inlineStr">
        <is>
          <t>Installation (AP deployment, cabling, PoE, switch config)</t>
        </is>
      </c>
      <c r="B28" s="6" t="inlineStr">
        <is>
          <t>2-tech team, 3 days</t>
        </is>
      </c>
      <c r="C28" s="6" t="n">
        <v>3</v>
      </c>
      <c r="D28" s="7" t="n">
        <v>9000</v>
      </c>
      <c r="E28" s="7">
        <f>C28*D28</f>
        <v/>
      </c>
    </row>
    <row r="29">
      <c r="A29" s="6" t="inlineStr">
        <is>
          <t>Commissioning and testing</t>
        </is>
      </c>
      <c r="B29" s="6" t="inlineStr">
        <is>
          <t>1 day</t>
        </is>
      </c>
      <c r="C29" s="6" t="n">
        <v>1</v>
      </c>
      <c r="D29" s="7" t="n">
        <v>4500</v>
      </c>
      <c r="E29" s="7">
        <f>C29*D29</f>
        <v/>
      </c>
    </row>
    <row r="30">
      <c r="A30" s="6" t="inlineStr">
        <is>
          <t>Documentation and handover</t>
        </is>
      </c>
      <c r="B30" s="6" t="inlineStr">
        <is>
          <t>1 half-day</t>
        </is>
      </c>
      <c r="C30" s="6" t="n">
        <v>1</v>
      </c>
      <c r="D30" s="7" t="n">
        <v>2250</v>
      </c>
      <c r="E30" s="7">
        <f>C30*D30</f>
        <v/>
      </c>
    </row>
    <row r="31">
      <c r="A31" s="8" t="inlineStr">
        <is>
          <t>Labour Subtotal</t>
        </is>
      </c>
      <c r="E31" s="9">
        <f>SUM(E27:E30)</f>
        <v/>
      </c>
    </row>
    <row r="32">
      <c r="A32" s="10" t="inlineStr">
        <is>
          <t>Travel/accommodation not applied - day-trip distance from PE assumed; confirm at survey.</t>
        </is>
      </c>
    </row>
    <row r="33">
      <c r="A33" s="10" t="inlineStr">
        <is>
          <t>Trenching: not applicable - wireless solution, no underground civil works required.</t>
        </is>
      </c>
    </row>
    <row r="35">
      <c r="A35" s="3" t="inlineStr">
        <is>
          <t>Project Total</t>
        </is>
      </c>
    </row>
    <row r="36">
      <c r="A36" s="8" t="inlineStr">
        <is>
          <t>Subtotal (Hardware + Infrastructure + Labour)</t>
        </is>
      </c>
      <c r="E36" s="11">
        <f>E12+E23+E31</f>
        <v/>
      </c>
    </row>
    <row r="37">
      <c r="A37" s="12" t="inlineStr">
        <is>
          <t>Contingency</t>
        </is>
      </c>
      <c r="D37" s="13" t="n">
        <v>0.1</v>
      </c>
      <c r="E37" s="14">
        <f>E36*D37</f>
        <v/>
      </c>
    </row>
    <row r="38">
      <c r="A38" s="8" t="inlineStr">
        <is>
          <t>Project Total (Excl. VAT)</t>
        </is>
      </c>
      <c r="E38" s="9">
        <f>E36+E37</f>
        <v/>
      </c>
    </row>
    <row r="39">
      <c r="A39" s="12" t="inlineStr">
        <is>
          <t>VAT</t>
        </is>
      </c>
      <c r="D39" s="13" t="n">
        <v>0.15</v>
      </c>
      <c r="E39" s="14">
        <f>E38*D39</f>
        <v/>
      </c>
    </row>
    <row r="40">
      <c r="A40" s="15" t="inlineStr">
        <is>
          <t>TOTAL BUILD COST (Incl. VAT)</t>
        </is>
      </c>
      <c r="E40" s="16">
        <f>E38+E39</f>
        <v/>
      </c>
    </row>
  </sheetData>
  <mergeCells count="17">
    <mergeCell ref="A2:F2"/>
    <mergeCell ref="A40:D40"/>
    <mergeCell ref="A33:F33"/>
    <mergeCell ref="A23:D23"/>
    <mergeCell ref="A31:D31"/>
    <mergeCell ref="A14:F14"/>
    <mergeCell ref="A12:D12"/>
    <mergeCell ref="A37:C37"/>
    <mergeCell ref="A1:F1"/>
    <mergeCell ref="A32:F32"/>
    <mergeCell ref="A38:D38"/>
    <mergeCell ref="A35:F35"/>
    <mergeCell ref="A4:F4"/>
    <mergeCell ref="A39:C39"/>
    <mergeCell ref="A15:F15"/>
    <mergeCell ref="A36:D3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Monthly Cost — Current (Herotel) vs Proposed (CTTX)</t>
        </is>
      </c>
    </row>
    <row r="2" ht="26" customHeight="1">
      <c r="A2" s="2" t="inlineStr">
        <is>
          <t>Herotel figures from Tax Invoice #8313058, dated 31 Aug 2026. CTTX/Vodacom figures are the confidential-cost-protected client price from the CTTX Vodacom Reseller Pricing Master (Notion, updated 15 June 2026) - never the underlying CTTX cost.</t>
        </is>
      </c>
    </row>
    <row r="4">
      <c r="A4" s="3" t="inlineStr">
        <is>
          <t>Current: Herotel Business (what the lodge pays today)</t>
        </is>
      </c>
    </row>
    <row r="5">
      <c r="A5" s="5" t="inlineStr">
        <is>
          <t>Item</t>
        </is>
      </c>
      <c r="B5" s="5" t="inlineStr">
        <is>
          <t>Excl. VAT</t>
        </is>
      </c>
      <c r="C5" s="5" t="inlineStr">
        <is>
          <t>Incl. VAT</t>
        </is>
      </c>
      <c r="D5" s="5" t="inlineStr"/>
    </row>
    <row r="6">
      <c r="A6" s="6" t="inlineStr">
        <is>
          <t>Business WTTB 100 Mbps Symmetrical</t>
        </is>
      </c>
      <c r="B6" s="7" t="n">
        <v>9999</v>
      </c>
      <c r="C6" s="7" t="n">
        <v>11498.85</v>
      </c>
      <c r="D6" s="6" t="n"/>
    </row>
    <row r="7">
      <c r="A7" s="6" t="inlineStr">
        <is>
          <t>Static IP</t>
        </is>
      </c>
      <c r="B7" s="7" t="n">
        <v>180</v>
      </c>
      <c r="C7" s="7" t="n">
        <v>207</v>
      </c>
      <c r="D7" s="6" t="n"/>
    </row>
    <row r="8">
      <c r="A8" s="6" t="inlineStr">
        <is>
          <t>Huawei Wi-Fi 6 AP 362 (Managed-lite, 9x 24-month term)</t>
        </is>
      </c>
      <c r="B8" s="7" t="n">
        <v>2061</v>
      </c>
      <c r="C8" s="7" t="n">
        <v>2370.15</v>
      </c>
      <c r="D8" s="6" t="n"/>
    </row>
    <row r="9">
      <c r="A9" s="6" t="inlineStr">
        <is>
          <t>HB Managed Wi-Fi (Lite) 0-5 (x2)</t>
        </is>
      </c>
      <c r="B9" s="7" t="n">
        <v>298</v>
      </c>
      <c r="C9" s="7" t="n">
        <v>342.7</v>
      </c>
      <c r="D9" s="6" t="n"/>
    </row>
    <row r="10">
      <c r="A10" s="6" t="inlineStr">
        <is>
          <t>Huawei Wi-Fi 6 AP 362 (Managed-lite, 14x 12-month term)</t>
        </is>
      </c>
      <c r="B10" s="7" t="n">
        <v>3206</v>
      </c>
      <c r="C10" s="7" t="n">
        <v>3686.9</v>
      </c>
      <c r="D10" s="6" t="n"/>
    </row>
    <row r="11">
      <c r="A11" s="8" t="inlineStr">
        <is>
          <t>Herotel Monthly Total (current)</t>
        </is>
      </c>
      <c r="B11" s="9">
        <f>SUM(B6:B10)</f>
        <v/>
      </c>
      <c r="C11" s="9">
        <f>SUM(C6:C10)</f>
        <v/>
      </c>
    </row>
    <row r="13">
      <c r="A13" s="3" t="inlineStr">
        <is>
          <t>Proposed: Vodacom Business Connect via CTTX (carrier connectivity only)</t>
        </is>
      </c>
    </row>
    <row r="14">
      <c r="A14" s="2" t="inlineStr">
        <is>
          <t>Uncontended (1:1), Uncapped, Unshaped, No FUP, Symmetrical, Business SLA, Huawei router included, 1 static IP standard. 24-month contract. Subject to feasibility confirmation.</t>
        </is>
      </c>
    </row>
    <row r="15">
      <c r="A15" s="5" t="inlineStr">
        <is>
          <t>Item</t>
        </is>
      </c>
      <c r="B15" s="5" t="inlineStr">
        <is>
          <t>Excl. VAT</t>
        </is>
      </c>
      <c r="C15" s="5" t="inlineStr">
        <is>
          <t>Incl. VAT</t>
        </is>
      </c>
      <c r="D15" s="5" t="inlineStr"/>
    </row>
    <row r="16">
      <c r="A16" s="6" t="inlineStr">
        <is>
          <t>Vodacom Business Connect 100 Mbps (Monthly Recurring Charge)</t>
        </is>
      </c>
      <c r="B16" s="7" t="n">
        <v>7103</v>
      </c>
      <c r="C16" s="7" t="n">
        <v>8168</v>
      </c>
      <c r="D16" s="6" t="n"/>
    </row>
    <row r="17">
      <c r="A17" s="6" t="inlineStr">
        <is>
          <t>Once-off Connection Fee (NRC) - not monthly, shown for reference</t>
        </is>
      </c>
      <c r="B17" s="7" t="n">
        <v>3130</v>
      </c>
      <c r="C17" s="7" t="n">
        <v>3599</v>
      </c>
      <c r="D17" s="6" t="n"/>
    </row>
    <row r="18">
      <c r="A18" s="8" t="inlineStr">
        <is>
          <t>Vodacom-Only Monthly Total</t>
        </is>
      </c>
      <c r="B18" s="9">
        <f>B16</f>
        <v/>
      </c>
      <c r="C18" s="9">
        <f>C16</f>
        <v/>
      </c>
    </row>
    <row r="20">
      <c r="A20" s="3" t="inlineStr">
        <is>
          <t>Optional Add-On: CTTX Managed Service Retainer (recommended)</t>
        </is>
      </c>
    </row>
    <row r="21">
      <c r="A21" s="2" t="inlineStr">
        <is>
          <t>Remote monitoring (Cambium cnMaestro + Victron), proactive maintenance, quarterly on-site visits, battery/solar health checks, priority emergency support. CTTX does not deploy unmonitored infrastructure as a matter of policy.</t>
        </is>
      </c>
    </row>
    <row r="22">
      <c r="A22" s="5" t="inlineStr">
        <is>
          <t>Item</t>
        </is>
      </c>
      <c r="B22" s="5" t="inlineStr">
        <is>
          <t>Excl. VAT</t>
        </is>
      </c>
      <c r="C22" s="5" t="inlineStr">
        <is>
          <t>Incl. VAT</t>
        </is>
      </c>
      <c r="D22" s="5" t="inlineStr"/>
    </row>
    <row r="23">
      <c r="A23" s="6" t="inlineStr">
        <is>
          <t>Managed Service Retainer (mid-tier of R3,500-R5,500 range)</t>
        </is>
      </c>
      <c r="B23" s="7" t="n">
        <v>4500</v>
      </c>
      <c r="C23" s="7" t="n">
        <v>5175</v>
      </c>
      <c r="D23" s="6" t="n"/>
    </row>
    <row r="25">
      <c r="A25" s="3" t="inlineStr">
        <is>
          <t>Recommended Path: Vodacom + Managed Retainer</t>
        </is>
      </c>
    </row>
    <row r="26">
      <c r="A26" s="17" t="inlineStr">
        <is>
          <t>Recommended Monthly Total (Vodacom + Retainer)</t>
        </is>
      </c>
      <c r="B26" s="9">
        <f>B16+B23</f>
        <v/>
      </c>
      <c r="C26" s="16">
        <f>C16+C23</f>
        <v/>
      </c>
    </row>
    <row r="27">
      <c r="A27" s="8" t="inlineStr">
        <is>
          <t>Monthly saving vs Herotel (recommended path, incl. VAT)</t>
        </is>
      </c>
      <c r="C27" s="18">
        <f>C11-C26</f>
        <v/>
      </c>
    </row>
    <row r="28">
      <c r="A28" s="8" t="inlineStr">
        <is>
          <t>Monthly saving vs Herotel (Vodacom-only, self-maintained, incl. VAT)</t>
        </is>
      </c>
      <c r="C28" s="18">
        <f>C11-C18</f>
        <v/>
      </c>
    </row>
  </sheetData>
  <mergeCells count="8">
    <mergeCell ref="A2:F2"/>
    <mergeCell ref="A13:F13"/>
    <mergeCell ref="A14:F14"/>
    <mergeCell ref="A1:F1"/>
    <mergeCell ref="A4:F4"/>
    <mergeCell ref="A20:F20"/>
    <mergeCell ref="A21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4" customWidth="1" min="13" max="13"/>
  </cols>
  <sheetData>
    <row r="1" ht="28" customHeight="1">
      <c r="A1" s="1" t="inlineStr">
        <is>
          <t>10-Year Cash Flow — Build vs Keep Renting</t>
        </is>
      </c>
    </row>
    <row r="2">
      <c r="A2" s="2" t="inlineStr">
        <is>
          <t>Year 0 = build year (deposit and construction). Years 1-10 = the network's expected working life under CTTX support. All figures incl. VAT.</t>
        </is>
      </c>
    </row>
    <row r="4">
      <c r="A4" s="8" t="inlineStr">
        <is>
          <t>Annual escalation rate (applied to both Herotel and Vodacom monthly fees)</t>
        </is>
      </c>
      <c r="B4" s="13" t="n">
        <v>0.08</v>
      </c>
      <c r="C4" s="10" t="inlineStr">
        <is>
          <t>&lt;- editable assumption; see tab 5 for why 8% was used</t>
        </is>
      </c>
    </row>
    <row r="6">
      <c r="A6" s="8" t="inlineStr">
        <is>
          <t>Year</t>
        </is>
      </c>
      <c r="B6" s="19" t="n">
        <v>0</v>
      </c>
      <c r="C6" s="19" t="n">
        <v>1</v>
      </c>
      <c r="D6" s="19" t="n">
        <v>2</v>
      </c>
      <c r="E6" s="19" t="n">
        <v>3</v>
      </c>
      <c r="F6" s="19" t="n">
        <v>4</v>
      </c>
      <c r="G6" s="19" t="n">
        <v>5</v>
      </c>
      <c r="H6" s="19" t="n">
        <v>6</v>
      </c>
      <c r="I6" s="19" t="n">
        <v>7</v>
      </c>
      <c r="J6" s="19" t="n">
        <v>8</v>
      </c>
      <c r="K6" s="19" t="n">
        <v>9</v>
      </c>
      <c r="L6" s="19" t="n">
        <v>10</v>
      </c>
    </row>
    <row r="7">
      <c r="A7" s="3" t="inlineStr">
        <is>
          <t>Path A: Stay with Herotel (do nothing)</t>
        </is>
      </c>
    </row>
    <row r="8">
      <c r="A8" s="12" t="inlineStr">
        <is>
          <t>Herotel monthly bill (escalated)</t>
        </is>
      </c>
      <c r="B8" s="20">
        <f>'3. Monthly Cost Comparison'!$C$11</f>
        <v/>
      </c>
      <c r="C8" s="20">
        <f>B8*(1+$B$4)</f>
        <v/>
      </c>
      <c r="D8" s="20">
        <f>C8*(1+$B$4)</f>
        <v/>
      </c>
      <c r="E8" s="20">
        <f>D8*(1+$B$4)</f>
        <v/>
      </c>
      <c r="F8" s="20">
        <f>E8*(1+$B$4)</f>
        <v/>
      </c>
      <c r="G8" s="20">
        <f>F8*(1+$B$4)</f>
        <v/>
      </c>
      <c r="H8" s="20">
        <f>G8*(1+$B$4)</f>
        <v/>
      </c>
      <c r="I8" s="20">
        <f>H8*(1+$B$4)</f>
        <v/>
      </c>
      <c r="J8" s="20">
        <f>I8*(1+$B$4)</f>
        <v/>
      </c>
      <c r="K8" s="20">
        <f>J8*(1+$B$4)</f>
        <v/>
      </c>
      <c r="L8" s="20">
        <f>K8*(1+$B$4)</f>
        <v/>
      </c>
    </row>
    <row r="9">
      <c r="A9" s="12" t="inlineStr">
        <is>
          <t>Herotel annual cost</t>
        </is>
      </c>
      <c r="B9" s="20">
        <f>B8*12</f>
        <v/>
      </c>
      <c r="C9" s="20">
        <f>C8*12</f>
        <v/>
      </c>
      <c r="D9" s="20">
        <f>D8*12</f>
        <v/>
      </c>
      <c r="E9" s="20">
        <f>E8*12</f>
        <v/>
      </c>
      <c r="F9" s="20">
        <f>F8*12</f>
        <v/>
      </c>
      <c r="G9" s="20">
        <f>G8*12</f>
        <v/>
      </c>
      <c r="H9" s="20">
        <f>H8*12</f>
        <v/>
      </c>
      <c r="I9" s="20">
        <f>I8*12</f>
        <v/>
      </c>
      <c r="J9" s="20">
        <f>J8*12</f>
        <v/>
      </c>
      <c r="K9" s="20">
        <f>K8*12</f>
        <v/>
      </c>
      <c r="L9" s="20">
        <f>L8*12</f>
        <v/>
      </c>
    </row>
    <row r="10">
      <c r="A10" s="8" t="inlineStr">
        <is>
          <t>Herotel cumulative cost</t>
        </is>
      </c>
      <c r="B10" s="9">
        <f>B9</f>
        <v/>
      </c>
      <c r="C10" s="9">
        <f>B10+C9</f>
        <v/>
      </c>
      <c r="D10" s="9">
        <f>C10+D9</f>
        <v/>
      </c>
      <c r="E10" s="9">
        <f>D10+E9</f>
        <v/>
      </c>
      <c r="F10" s="9">
        <f>E10+F9</f>
        <v/>
      </c>
      <c r="G10" s="9">
        <f>F10+G9</f>
        <v/>
      </c>
      <c r="H10" s="9">
        <f>G10+H9</f>
        <v/>
      </c>
      <c r="I10" s="9">
        <f>H10+I9</f>
        <v/>
      </c>
      <c r="J10" s="9">
        <f>I10+J9</f>
        <v/>
      </c>
      <c r="K10" s="9">
        <f>J10+K9</f>
        <v/>
      </c>
      <c r="L10" s="9">
        <f>K10+L9</f>
        <v/>
      </c>
    </row>
    <row r="12">
      <c r="A12" s="3" t="inlineStr">
        <is>
          <t>Path B: Build the CTTX private network (recommended - Vodacom + Managed Retainer)</t>
        </is>
      </c>
    </row>
    <row r="13">
      <c r="A13" s="12" t="inlineStr">
        <is>
          <t>Build cost (one-time, Year 0 only)</t>
        </is>
      </c>
      <c r="B13" s="20">
        <f>'2. CAPEX Build Cost'!$E$40</f>
        <v/>
      </c>
      <c r="C13" s="20" t="n">
        <v>0</v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</row>
    <row r="14">
      <c r="A14" s="12" t="inlineStr">
        <is>
          <t>Vodacom once-off connection fee (Year 0 only)</t>
        </is>
      </c>
      <c r="B14" s="20">
        <f>'3. Monthly Cost Comparison'!$C$17</f>
        <v/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</row>
    <row r="15">
      <c r="A15" s="12" t="inlineStr">
        <is>
          <t>CTTX monthly recurring (Vodacom + Retainer, escalated)</t>
        </is>
      </c>
      <c r="B15" s="20" t="n">
        <v>0</v>
      </c>
      <c r="C15" s="20">
        <f>'3. Monthly Cost Comparison'!$C$26</f>
        <v/>
      </c>
      <c r="D15" s="20">
        <f>C15*(1+$B$4)</f>
        <v/>
      </c>
      <c r="E15" s="20">
        <f>D15*(1+$B$4)</f>
        <v/>
      </c>
      <c r="F15" s="20">
        <f>E15*(1+$B$4)</f>
        <v/>
      </c>
      <c r="G15" s="20">
        <f>F15*(1+$B$4)</f>
        <v/>
      </c>
      <c r="H15" s="20">
        <f>G15*(1+$B$4)</f>
        <v/>
      </c>
      <c r="I15" s="20">
        <f>H15*(1+$B$4)</f>
        <v/>
      </c>
      <c r="J15" s="20">
        <f>I15*(1+$B$4)</f>
        <v/>
      </c>
      <c r="K15" s="20">
        <f>J15*(1+$B$4)</f>
        <v/>
      </c>
      <c r="L15" s="20">
        <f>K15*(1+$B$4)</f>
        <v/>
      </c>
    </row>
    <row r="16">
      <c r="A16" s="12" t="inlineStr">
        <is>
          <t>CTTX annual recurring cost</t>
        </is>
      </c>
      <c r="B16" s="20">
        <f>B15*12</f>
        <v/>
      </c>
      <c r="C16" s="20">
        <f>C15*12</f>
        <v/>
      </c>
      <c r="D16" s="20">
        <f>D15*12</f>
        <v/>
      </c>
      <c r="E16" s="20">
        <f>E15*12</f>
        <v/>
      </c>
      <c r="F16" s="20">
        <f>F15*12</f>
        <v/>
      </c>
      <c r="G16" s="20">
        <f>G15*12</f>
        <v/>
      </c>
      <c r="H16" s="20">
        <f>H15*12</f>
        <v/>
      </c>
      <c r="I16" s="20">
        <f>I15*12</f>
        <v/>
      </c>
      <c r="J16" s="20">
        <f>J15*12</f>
        <v/>
      </c>
      <c r="K16" s="20">
        <f>K15*12</f>
        <v/>
      </c>
      <c r="L16" s="20">
        <f>L15*12</f>
        <v/>
      </c>
    </row>
    <row r="17">
      <c r="A17" s="8" t="inlineStr">
        <is>
          <t>CTTX cumulative cost</t>
        </is>
      </c>
      <c r="B17" s="9">
        <f>B13+B14+B16</f>
        <v/>
      </c>
      <c r="C17" s="9">
        <f>B17+C16</f>
        <v/>
      </c>
      <c r="D17" s="9">
        <f>C17+D16</f>
        <v/>
      </c>
      <c r="E17" s="9">
        <f>D17+E16</f>
        <v/>
      </c>
      <c r="F17" s="9">
        <f>E17+F16</f>
        <v/>
      </c>
      <c r="G17" s="9">
        <f>F17+G16</f>
        <v/>
      </c>
      <c r="H17" s="9">
        <f>G17+H16</f>
        <v/>
      </c>
      <c r="I17" s="9">
        <f>H17+I16</f>
        <v/>
      </c>
      <c r="J17" s="9">
        <f>I17+J16</f>
        <v/>
      </c>
      <c r="K17" s="9">
        <f>J17+K16</f>
        <v/>
      </c>
      <c r="L17" s="9">
        <f>K17+L16</f>
        <v/>
      </c>
    </row>
    <row r="19">
      <c r="A19" s="3" t="inlineStr">
        <is>
          <t>Cumulative Savings (Path A minus Path B)</t>
        </is>
      </c>
    </row>
    <row r="20">
      <c r="A20" s="8" t="inlineStr">
        <is>
          <t>Cumulative savings from building (negative = still paying off the build)</t>
        </is>
      </c>
      <c r="B20" s="21">
        <f>B10-B17</f>
        <v/>
      </c>
      <c r="C20" s="21">
        <f>C10-C17</f>
        <v/>
      </c>
      <c r="D20" s="21">
        <f>D10-D17</f>
        <v/>
      </c>
      <c r="E20" s="21">
        <f>E10-E17</f>
        <v/>
      </c>
      <c r="F20" s="21">
        <f>F10-F17</f>
        <v/>
      </c>
      <c r="G20" s="21">
        <f>G10-G17</f>
        <v/>
      </c>
      <c r="H20" s="21">
        <f>H10-H17</f>
        <v/>
      </c>
      <c r="I20" s="21">
        <f>I10-I17</f>
        <v/>
      </c>
      <c r="J20" s="21">
        <f>J10-J17</f>
        <v/>
      </c>
      <c r="K20" s="21">
        <f>K10-K17</f>
        <v/>
      </c>
      <c r="L20" s="21">
        <f>L10-L17</f>
        <v/>
      </c>
    </row>
    <row r="22">
      <c r="A22" s="3" t="inlineStr">
        <is>
          <t>Payback Calculation</t>
        </is>
      </c>
    </row>
    <row r="23">
      <c r="A23" s="12" t="inlineStr">
        <is>
          <t>Last year cumulative savings still negative or zero (position in range)</t>
        </is>
      </c>
      <c r="B23" s="22">
        <f>MATCH(0,B20:L20,1)</f>
        <v/>
      </c>
    </row>
    <row r="24">
      <c r="A24" s="12" t="inlineStr">
        <is>
          <t>That year number</t>
        </is>
      </c>
      <c r="B24" s="22">
        <f>INDEX(B6:L6,B23)</f>
        <v/>
      </c>
    </row>
    <row r="25">
      <c r="A25" s="12" t="inlineStr">
        <is>
          <t>Cumulative savings at that year</t>
        </is>
      </c>
      <c r="B25" s="20">
        <f>INDEX(B20:L20,B23)</f>
        <v/>
      </c>
    </row>
    <row r="26">
      <c r="A26" s="12" t="inlineStr">
        <is>
          <t>Cumulative savings the following year</t>
        </is>
      </c>
      <c r="B26" s="20">
        <f>INDEX(B20:L20,B23+1)</f>
        <v/>
      </c>
    </row>
    <row r="27">
      <c r="A27" s="12" t="inlineStr">
        <is>
          <t>Payback point (years, decimal)</t>
        </is>
      </c>
      <c r="B27" s="23">
        <f>B24+(-B25)/(B26-B25)</f>
        <v/>
      </c>
    </row>
    <row r="28">
      <c r="A28" s="8" t="inlineStr">
        <is>
          <t>Payback point (plain English)</t>
        </is>
      </c>
      <c r="B28" s="24">
        <f>TEXT(INT(B27),"0")&amp;" years, "&amp;TEXT(ROUND((B27-INT(B27))*12,0),"0")&amp;" months"</f>
        <v/>
      </c>
    </row>
    <row r="30">
      <c r="A30" s="8" t="inlineStr">
        <is>
          <t>Total 10-year saving vs Herotel (recommended path)</t>
        </is>
      </c>
      <c r="M30" s="25">
        <f>L20</f>
        <v/>
      </c>
    </row>
  </sheetData>
  <mergeCells count="7">
    <mergeCell ref="A19:M19"/>
    <mergeCell ref="A1:M1"/>
    <mergeCell ref="A22:M22"/>
    <mergeCell ref="A12:M12"/>
    <mergeCell ref="C4:H4"/>
    <mergeCell ref="A7:M7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55" customWidth="1" min="3" max="3"/>
  </cols>
  <sheetData>
    <row r="1" ht="28" customHeight="1">
      <c r="A1" s="1" t="inlineStr">
        <is>
          <t>Assumptions, Scope, and What's Not Yet Confirmed</t>
        </is>
      </c>
    </row>
    <row r="3">
      <c r="A3" s="3" t="inlineStr">
        <is>
          <t>Financial Assumptions</t>
        </is>
      </c>
    </row>
    <row r="4">
      <c r="A4" s="4" t="inlineStr">
        <is>
          <t>Assumption</t>
        </is>
      </c>
      <c r="B4" s="4" t="inlineStr">
        <is>
          <t>Value</t>
        </is>
      </c>
      <c r="C4" s="5" t="inlineStr">
        <is>
          <t>Basis</t>
        </is>
      </c>
    </row>
    <row r="5" ht="30" customHeight="1">
      <c r="A5" s="12" t="inlineStr">
        <is>
          <t>Annual price escalation (Herotel and Vodacom)</t>
        </is>
      </c>
      <c r="B5" s="8" t="inlineStr">
        <is>
          <t>8% p.a.</t>
        </is>
      </c>
      <c r="C5" s="26" t="inlineStr">
        <is>
          <t>Not confirmed by either party - a typical CPI-linked telecom escalation in South Africa. Editable on tab 4; change it and every formula recalculates.</t>
        </is>
      </c>
    </row>
    <row r="6" ht="30" customHeight="1">
      <c r="A6" s="12" t="inlineStr">
        <is>
          <t>Contingency on build cost</t>
        </is>
      </c>
      <c r="B6" s="8" t="inlineStr">
        <is>
          <t>10%</t>
        </is>
      </c>
      <c r="C6" s="26" t="inlineStr">
        <is>
          <t>Standard CTTX estimating practice for a project at this stage (pre-final-survey).</t>
        </is>
      </c>
    </row>
    <row r="7" ht="30" customHeight="1">
      <c r="A7" s="12" t="inlineStr">
        <is>
          <t>VAT rate</t>
        </is>
      </c>
      <c r="B7" s="8" t="inlineStr">
        <is>
          <t>15%</t>
        </is>
      </c>
      <c r="C7" s="26" t="inlineStr">
        <is>
          <t>Current South African VAT rate.</t>
        </is>
      </c>
    </row>
    <row r="8" ht="30" customHeight="1">
      <c r="A8" s="12" t="inlineStr">
        <is>
          <t>Managed Service Retainer</t>
        </is>
      </c>
      <c r="B8" s="8" t="inlineStr">
        <is>
          <t>R4,500/month excl. VAT</t>
        </is>
      </c>
      <c r="C8" s="26" t="inlineStr">
        <is>
          <t>Mid-point of CTTX's R3,500-R5,500/month range for a system this complex (mast, solar/battery, 30 radios).</t>
        </is>
      </c>
    </row>
    <row r="9" ht="30" customHeight="1">
      <c r="A9" s="12" t="inlineStr">
        <is>
          <t>Contract term - Vodacom Business Connect</t>
        </is>
      </c>
      <c r="B9" s="8" t="inlineStr">
        <is>
          <t>24 months</t>
        </is>
      </c>
      <c r="C9" s="26" t="inlineStr">
        <is>
          <t>Standard Vodacom Business Connect contract term. The network's physical life (10 years) is longer than this contract term - Vodacom connectivity is expected to be renewed at then-current rates.</t>
        </is>
      </c>
    </row>
    <row r="11">
      <c r="A11" s="3" t="inlineStr">
        <is>
          <t>Design Assumptions</t>
        </is>
      </c>
    </row>
    <row r="12" ht="32" customHeight="1">
      <c r="A12" s="26" t="inlineStr">
        <is>
          <t>Single 9m mast carrying two 90-degree sector antennas (confirmed by Gerhard, 26 Sept 2026) - replaces the lodge's existing leaning gum-pole mount. This is NOT a two-site build; earlier drafts of this costing incorrectly read the field survey's two radio labels as two separate physical locations before this was corrected.</t>
        </is>
      </c>
    </row>
    <row r="13" ht="32" customHeight="1">
      <c r="A13" s="26" t="inlineStr">
        <is>
          <t>Line-of-sight confirmed for all 28 subscriber links by Abel Ringisai's field RF survey (KML export, 22 Sept 2026).</t>
        </is>
      </c>
    </row>
    <row r="14" ht="32" customHeight="1">
      <c r="A14" s="26" t="inlineStr">
        <is>
          <t>The longest links (1.7km-3.0km, to the staff village and Director's House) sit at the edge of the serving sector's range and still need a link-budget check to confirm they sustain full 100 Mbps symmetrical - flagged, not yet resolved.</t>
        </is>
      </c>
    </row>
    <row r="15" ht="32" customHeight="1">
      <c r="A15" s="26" t="inlineStr">
        <is>
          <t>Cable run priced at an average 40m per run - to be confirmed once exact distances are measured on site.</t>
        </is>
      </c>
    </row>
    <row r="16" ht="32" customHeight="1">
      <c r="A16" s="26" t="inlineStr">
        <is>
          <t>Vodacom Business Connect feasibility for this specific site has not yet been formally submitted/approved.</t>
        </is>
      </c>
    </row>
    <row r="18">
      <c r="A18" s="3" t="inlineStr">
        <is>
          <t>What's Included in the 10-Year Support</t>
        </is>
      </c>
    </row>
    <row r="19" ht="32" customHeight="1">
      <c r="A19" s="26" t="inlineStr">
        <is>
          <t>Years 1-3: monthly remote monitoring, quarterly on-site maintenance, 24/7 emergency support, proactive performance reporting, warranty-covered equipment troubleshooting/replacement.</t>
        </is>
      </c>
    </row>
    <row r="20" ht="32" customHeight="1">
      <c r="A20" s="26" t="inlineStr">
        <is>
          <t>Years 4-10: ongoing remote monitoring, annual on-site maintenance/assessment, 24/7 support continuation, planned technology refresh, performance reporting.</t>
        </is>
      </c>
    </row>
    <row r="21" ht="32" customHeight="1">
      <c r="A21" s="26" t="inlineStr">
        <is>
          <t>Throughout: no vendor lock-in on the owned hardware, scalability support, staff training and documentation.</t>
        </is>
      </c>
    </row>
    <row r="23">
      <c r="A23" s="3" t="inlineStr">
        <is>
          <t>What's Excluded / Not Yet Priced</t>
        </is>
      </c>
    </row>
    <row r="24" ht="32" customHeight="1">
      <c r="A24" s="26" t="inlineStr">
        <is>
          <t>Major component replacement (Lithium battery bank, inverter) near the end of the 10-year term - typical service life for this equipment is 8-10 years, so a replacement reserve may be needed in years 8-10 and is not included in the build cost above.</t>
        </is>
      </c>
    </row>
    <row r="25" ht="32" customHeight="1">
      <c r="A25" s="26" t="inlineStr">
        <is>
          <t>Trenching or underground civil works (none required - this is a wireless solution).</t>
        </is>
      </c>
    </row>
    <row r="26" ht="32" customHeight="1">
      <c r="A26" s="26" t="inlineStr">
        <is>
          <t>CCTV cameras, POS hardware, or other endpoint devices not listed in the hardware BOM.</t>
        </is>
      </c>
    </row>
    <row r="27" ht="32" customHeight="1">
      <c r="A27" s="26" t="inlineStr">
        <is>
          <t>Travel/accommodation beyond a day-trip assumption from Port Elizabeth (~1h45 drive) - to be confirmed if overnight stays are required during the 3-day install.</t>
        </is>
      </c>
    </row>
    <row r="28" ht="32" customHeight="1">
      <c r="A28" s="26" t="inlineStr">
        <is>
          <t>Any scope beyond the confirmed coverage zones (28 subscriber sites) without a signed change order.</t>
        </is>
      </c>
    </row>
  </sheetData>
  <mergeCells count="18">
    <mergeCell ref="A28:C28"/>
    <mergeCell ref="A25:C25"/>
    <mergeCell ref="A19:C19"/>
    <mergeCell ref="A13:C13"/>
    <mergeCell ref="A11:C11"/>
    <mergeCell ref="A1:C1"/>
    <mergeCell ref="A23:C23"/>
    <mergeCell ref="A16:C16"/>
    <mergeCell ref="A14:C14"/>
    <mergeCell ref="A18:C18"/>
    <mergeCell ref="A27:C27"/>
    <mergeCell ref="A3:C3"/>
    <mergeCell ref="A21:C21"/>
    <mergeCell ref="A12:C12"/>
    <mergeCell ref="A20:C20"/>
    <mergeCell ref="A24:C24"/>
    <mergeCell ref="A26:C2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2026-09-25T16:28:54Z</dcterms:created>
  <dcterms:modified xsi:type="dcterms:W3CDTF">2026-09-25T16:45:07Z</dcterms:modified>
</cp:coreProperties>
</file>