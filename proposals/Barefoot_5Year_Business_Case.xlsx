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Business Case" sheetId="1" state="visible" r:id="rId1"/>
    <sheet name="2. Network Build Investment" sheetId="2" state="visible" r:id="rId2"/>
    <sheet name="3. Monthly Cost Comparison" sheetId="3" state="visible" r:id="rId3"/>
    <sheet name="4. 5-Year Cash Flow" sheetId="4" state="visible" r:id="rId4"/>
    <sheet name="5. Assumptions &amp; Sc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&quot;#,##0.00;(&quot;R&quot;#,##0.00);&quot;-&quot;"/>
    <numFmt numFmtId="165" formatCode="0.0%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9"/>
    </font>
    <font>
      <name val="Arial"/>
      <b val="1"/>
      <sz val="11"/>
    </font>
    <font>
      <name val="Arial"/>
      <b val="1"/>
      <color rgb="000000FF"/>
      <sz val="10"/>
    </font>
    <font>
      <name val="Arial"/>
      <sz val="10"/>
    </font>
    <font>
      <name val="Arial"/>
      <b val="1"/>
      <sz val="12"/>
    </font>
    <font>
      <name val="Arial"/>
      <b val="1"/>
      <color rgb="001F3864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sz val="10"/>
    </font>
    <font>
      <name val="Arial"/>
      <b val="1"/>
      <color rgb="00008000"/>
      <sz val="11"/>
    </font>
    <font>
      <name val="Arial"/>
      <i val="1"/>
      <color rgb="00C00000"/>
      <sz val="9"/>
    </font>
    <font>
      <name val="Arial"/>
      <b val="1"/>
      <color rgb="00008000"/>
      <sz val="10"/>
    </font>
    <font>
      <name val="Arial"/>
      <b val="1"/>
      <color rgb="001F3864"/>
      <sz val="11"/>
    </font>
    <font>
      <name val="Arial"/>
      <b val="1"/>
      <color rgb="00008000"/>
      <sz val="12"/>
    </font>
    <font>
      <name val="Arial"/>
      <i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2E5395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164" fontId="4" fillId="3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164" fontId="7" fillId="4" borderId="0" pivotButton="0" quotePrefix="0" xfId="0"/>
    <xf numFmtId="0" fontId="8" fillId="5" borderId="0" applyAlignment="1" pivotButton="0" quotePrefix="0" xfId="0">
      <alignment horizontal="left" vertical="center" indent="1"/>
    </xf>
    <xf numFmtId="0" fontId="9" fillId="6" borderId="0" pivotButton="0" quotePrefix="0" xfId="0"/>
    <xf numFmtId="0" fontId="9" fillId="6" borderId="0" applyAlignment="1" pivotButton="0" quotePrefix="0" xfId="0">
      <alignment horizontal="center"/>
    </xf>
    <xf numFmtId="0" fontId="10" fillId="0" borderId="0" pivotButton="0" quotePrefix="0" xfId="0"/>
    <xf numFmtId="0" fontId="5" fillId="0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0" fontId="11" fillId="0" borderId="0" pivotButton="0" quotePrefix="0" xfId="0"/>
    <xf numFmtId="164" fontId="11" fillId="4" borderId="0" pivotButton="0" quotePrefix="0" xfId="0"/>
    <xf numFmtId="164" fontId="12" fillId="0" borderId="0" pivotButton="0" quotePrefix="0" xfId="0"/>
    <xf numFmtId="165" fontId="4" fillId="3" borderId="0" pivotButton="0" quotePrefix="0" xfId="0"/>
    <xf numFmtId="0" fontId="13" fillId="0" borderId="0" pivotButton="0" quotePrefix="0" xfId="0"/>
    <xf numFmtId="164" fontId="0" fillId="0" borderId="0" pivotButton="0" quotePrefix="0" xfId="0"/>
    <xf numFmtId="164" fontId="10" fillId="0" borderId="0" pivotButton="0" quotePrefix="0" xfId="0"/>
    <xf numFmtId="165" fontId="14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0" fontId="15" fillId="4" borderId="0" pivotButton="0" quotePrefix="0" xfId="0"/>
    <xf numFmtId="164" fontId="16" fillId="4" borderId="0" pivotButton="0" quotePrefix="0" xfId="0"/>
    <xf numFmtId="165" fontId="16" fillId="4" borderId="0" pivotButton="0" quotePrefix="0" xfId="0"/>
    <xf numFmtId="0" fontId="9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17" fillId="0" borderId="0" pivotButton="0" quotePrefix="0" xfId="0"/>
    <xf numFmtId="164" fontId="7" fillId="4" borderId="0" applyAlignment="1" pivotButton="0" quotePrefix="0" xfId="0">
      <alignment horizontal="right"/>
    </xf>
    <xf numFmtId="49" fontId="7" fillId="4" borderId="0" applyAlignment="1" pivotButton="0" quotePrefix="0" xfId="0">
      <alignment horizontal="right"/>
    </xf>
    <xf numFmtId="165" fontId="7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Cost: Stay with Herotel vs Build with CTTX</a:t>
            </a:r>
          </a:p>
        </rich>
      </tx>
    </title>
    <plotArea>
      <lineChart>
        <grouping val="standard"/>
        <ser>
          <idx val="0"/>
          <order val="0"/>
          <tx>
            <strRef>
              <f>'4. 5-Year Cash Flow'!A10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'4. 5-Year Cash Flow'!$B$6:$G$6</f>
            </numRef>
          </cat>
          <val>
            <numRef>
              <f>'4. 5-Year Cash Flow'!$B$10:$G$10</f>
            </numRef>
          </val>
          <smooth val="0"/>
        </ser>
        <ser>
          <idx val="1"/>
          <order val="1"/>
          <tx>
            <strRef>
              <f>'4. 5-Year Cash Flow'!A17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'4. 5-Year Cash Flow'!$B$6:$G$6</f>
            </numRef>
          </cat>
          <val>
            <numRef>
              <f>'4. 5-Year Cash Flow'!$B$17:$G$17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Cost (R, incl. VAT)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Barefoot Addo Elephant Lodge — Own-Network Business Case</t>
        </is>
      </c>
    </row>
    <row r="2">
      <c r="A2" s="32" t="inlineStr">
        <is>
          <t>Why build a private carrier-grade network instead of continuing to rent one, month after month, forever.</t>
        </is>
      </c>
    </row>
    <row r="4">
      <c r="A4" s="5" t="inlineStr">
        <is>
          <t>Prepared for: Barefoot Addo Elephant Lodge (Pty) Ltd owners (Port Elizabeth)</t>
        </is>
      </c>
    </row>
    <row r="5">
      <c r="A5" s="5" t="inlineStr">
        <is>
          <t>Prepared by: Gerhard Smit, CTTX Services (Pty) Ltd</t>
        </is>
      </c>
    </row>
    <row r="6">
      <c r="A6" s="5" t="inlineStr">
        <is>
          <t>Date: 26 September 2026</t>
        </is>
      </c>
    </row>
    <row r="8">
      <c r="A8" s="9" t="inlineStr">
        <is>
          <t>The Simple Version</t>
        </is>
      </c>
    </row>
    <row r="9" ht="70" customHeight="1">
      <c r="A9" s="31" t="inlineStr">
        <is>
          <t>Right now the lodge pays a monthly bill to Herotel forever, for equipment it will never own, on a network it does not control. This proposal is the alternative: pay once to build a private network on your own engineered mast, then pay a much smaller monthly fee for the carrier link that feeds it. The network is built to run for 10 years, and CTTX supports it for that whole period.</t>
        </is>
      </c>
    </row>
    <row r="10"/>
    <row r="11"/>
    <row r="13">
      <c r="A13" s="9" t="inlineStr">
        <is>
          <t>Headline Numbers</t>
        </is>
      </c>
    </row>
    <row r="14">
      <c r="A14" s="17" t="inlineStr">
        <is>
          <t>One-time build cost (infrastructure, owned by the lodge)</t>
        </is>
      </c>
      <c r="E14" s="33">
        <f>'2. Network Build Investment'!C6</f>
        <v/>
      </c>
    </row>
    <row r="15">
      <c r="A15" s="17" t="inlineStr">
        <is>
          <t>Current Herotel monthly bill (connectivity + rented Wi-Fi equipment)</t>
        </is>
      </c>
      <c r="E15" s="33">
        <f>'3. Monthly Cost Comparison'!C11</f>
        <v/>
      </c>
    </row>
    <row r="16">
      <c r="A16" s="17" t="inlineStr">
        <is>
          <t>New monthly bill once built (Vodacom link + CTTX monitoring - recommended)</t>
        </is>
      </c>
      <c r="E16" s="33">
        <f>'3. Monthly Cost Comparison'!C26</f>
        <v/>
      </c>
    </row>
    <row r="17">
      <c r="A17" s="17" t="inlineStr">
        <is>
          <t>Monthly saving once built</t>
        </is>
      </c>
      <c r="E17" s="33">
        <f>E15-E16</f>
        <v/>
      </c>
    </row>
    <row r="18">
      <c r="A18" s="17" t="inlineStr">
        <is>
          <t>Time to pay back the build cost</t>
        </is>
      </c>
      <c r="E18" s="34">
        <f>'4. 5-Year Cash Flow'!B29</f>
        <v/>
      </c>
    </row>
    <row r="19">
      <c r="A19" s="17" t="inlineStr">
        <is>
          <t>Total saved over 5 years vs staying with Herotel</t>
        </is>
      </c>
      <c r="E19" s="33">
        <f>'4. 5-Year Cash Flow'!I31</f>
        <v/>
      </c>
    </row>
    <row r="20">
      <c r="A20" s="17" t="inlineStr">
        <is>
          <t>5-Year Return on Investment</t>
        </is>
      </c>
      <c r="E20" s="35">
        <f>'4. 5-Year Cash Flow'!I32</f>
        <v/>
      </c>
    </row>
    <row r="22">
      <c r="A22" s="9" t="inlineStr">
        <is>
          <t>Why This Makes Sense Over 10 Years</t>
        </is>
      </c>
    </row>
    <row r="23" ht="28" customHeight="1">
      <c r="A23" s="31" t="inlineStr">
        <is>
          <t>1. The lodge currently pays for connectivity AND for the right to use someone else's Wi-Fi equipment, every month, indefinitely. Nothing is ever owned.</t>
        </is>
      </c>
    </row>
    <row r="24" ht="28" customHeight="1">
      <c r="A24" s="31" t="inlineStr">
        <is>
          <t>2. The existing backhaul radios are mounted on a leaning gum pole - not an engineered structure. That is a physical failure risk, separate from the cost problem.</t>
        </is>
      </c>
    </row>
    <row r="25" ht="28" customHeight="1">
      <c r="A25" s="31" t="inlineStr">
        <is>
          <t>3. Building a private network converts a forever-rising monthly rental into a one-time build cost plus a much smaller ongoing carrier fee for just the connectivity - the Wi-Fi equipment, the mast, and the solar power all become the lodge's own asset.</t>
        </is>
      </c>
    </row>
    <row r="26" ht="28" customHeight="1">
      <c r="A26" s="31" t="inlineStr">
        <is>
          <t>4. CTTX designs, builds, and supports this network for an expected 10-year working life - see tab 5 for what that support includes and excludes.</t>
        </is>
      </c>
    </row>
    <row r="27" ht="28" customHeight="1">
      <c r="A27" s="31" t="inlineStr">
        <is>
          <t>5. See tab 4 for the year-by-year numbers: the build cost is recovered from the monthly saving within the payback period shown above, and every month after that is money the lodge keeps instead of sending to a telecoms reseller.</t>
        </is>
      </c>
    </row>
    <row r="29">
      <c r="A29" s="21" t="inlineStr">
        <is>
          <t>Full cost detail: tab 2 (build cost), tab 3 (monthly comparison), tab 4 (5-year cash flow), tab 5 (assumptions - read this before trusting any number on this page).</t>
        </is>
      </c>
    </row>
  </sheetData>
  <mergeCells count="19">
    <mergeCell ref="A17:D17"/>
    <mergeCell ref="A20:D20"/>
    <mergeCell ref="A27:F27"/>
    <mergeCell ref="A14:D14"/>
    <mergeCell ref="A19:D19"/>
    <mergeCell ref="A26:F26"/>
    <mergeCell ref="A2:F2"/>
    <mergeCell ref="A23:F23"/>
    <mergeCell ref="A8:F8"/>
    <mergeCell ref="A15:D15"/>
    <mergeCell ref="A22:F22"/>
    <mergeCell ref="A29:F29"/>
    <mergeCell ref="A13:F13"/>
    <mergeCell ref="A16:D16"/>
    <mergeCell ref="A24:F24"/>
    <mergeCell ref="A18:D18"/>
    <mergeCell ref="A9:F11"/>
    <mergeCell ref="A1:F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0" customWidth="1" min="3" max="3"/>
    <col width="20" customWidth="1" min="4" max="4"/>
  </cols>
  <sheetData>
    <row r="1" ht="28" customHeight="1">
      <c r="A1" s="1" t="inlineStr">
        <is>
          <t>Network Build Investment</t>
        </is>
      </c>
    </row>
    <row r="2">
      <c r="A2" s="2" t="inlineStr">
        <is>
          <t>Complete private wireless network - design, hardware, mast, cabinet, solar power system, installation, commissioning, and handover.</t>
        </is>
      </c>
    </row>
    <row r="4">
      <c r="A4" s="3" t="inlineStr">
        <is>
          <t>Complete Network Build (Excl. VAT)</t>
        </is>
      </c>
      <c r="C4" s="4" t="n">
        <v>308695.65</v>
      </c>
    </row>
    <row r="5">
      <c r="A5" s="5" t="inlineStr">
        <is>
          <t>VAT (15%)</t>
        </is>
      </c>
      <c r="C5" s="6">
        <f>C4*0.15</f>
        <v/>
      </c>
    </row>
    <row r="6">
      <c r="A6" s="7" t="inlineStr">
        <is>
          <t>TOTAL BUILD INVESTMENT (Incl. VAT)</t>
        </is>
      </c>
      <c r="C6" s="8">
        <f>C4+C5</f>
        <v/>
      </c>
    </row>
    <row r="8">
      <c r="A8" s="9" t="inlineStr">
        <is>
          <t>Complete Scope of Supply</t>
        </is>
      </c>
    </row>
    <row r="9">
      <c r="A9" s="2" t="inlineStr">
        <is>
          <t>Everything below is included in the build investment above. No per-item pricing is shown - this is the full scope of what gets installed, not a costed bill of materials.</t>
        </is>
      </c>
    </row>
    <row r="11">
      <c r="A11" s="10" t="inlineStr">
        <is>
          <t>Item</t>
        </is>
      </c>
      <c r="D11" s="11" t="inlineStr">
        <is>
          <t>Qty</t>
        </is>
      </c>
    </row>
    <row r="12">
      <c r="A12" s="12" t="inlineStr">
        <is>
          <t>Wireless Network Equipment</t>
        </is>
      </c>
    </row>
    <row r="13">
      <c r="A13" s="5" t="inlineStr">
        <is>
          <t xml:space="preserve">    Cambium ePMP 4500L 5GHz Base Station Access Point</t>
        </is>
      </c>
      <c r="D13" s="13" t="inlineStr">
        <is>
          <t>2</t>
        </is>
      </c>
    </row>
    <row r="14">
      <c r="A14" s="5" t="inlineStr">
        <is>
          <t xml:space="preserve">    ePMP Sector Antenna, 5GHz, 90/120 degree</t>
        </is>
      </c>
      <c r="D14" s="13" t="inlineStr">
        <is>
          <t>2</t>
        </is>
      </c>
    </row>
    <row r="15">
      <c r="A15" s="5" t="inlineStr">
        <is>
          <t xml:space="preserve">    Cambium ePMP Force 4525L Subscriber Module, 25dBi</t>
        </is>
      </c>
      <c r="D15" s="13" t="inlineStr">
        <is>
          <t>28</t>
        </is>
      </c>
    </row>
    <row r="16">
      <c r="A16" s="5" t="inlineStr">
        <is>
          <t xml:space="preserve">    DuxNet Wi-Fi 6 Indoor Ceiling Access Point</t>
        </is>
      </c>
      <c r="D16" s="13" t="inlineStr">
        <is>
          <t>28</t>
        </is>
      </c>
    </row>
    <row r="17">
      <c r="A17" s="5" t="inlineStr">
        <is>
          <t xml:space="preserve">    DuxNet Outdoor Dual-Band Wi-Fi 6 Access Point</t>
        </is>
      </c>
      <c r="D17" s="13" t="inlineStr">
        <is>
          <t>2</t>
        </is>
      </c>
    </row>
    <row r="18">
      <c r="A18" s="5" t="inlineStr">
        <is>
          <t xml:space="preserve">    DuxNet 8-Port Gigabit PoE+ L2 Cloud Switch</t>
        </is>
      </c>
      <c r="D18" s="13" t="inlineStr">
        <is>
          <t>4</t>
        </is>
      </c>
    </row>
    <row r="20">
      <c r="A20" s="12" t="inlineStr">
        <is>
          <t>Mast &amp; Foundation (Civil Works)</t>
        </is>
      </c>
    </row>
    <row r="21">
      <c r="A21" s="5" t="inlineStr">
        <is>
          <t xml:space="preserve">    9m Galvanized Steel Lattice Mast</t>
        </is>
      </c>
      <c r="D21" s="13" t="inlineStr">
        <is>
          <t>1</t>
        </is>
      </c>
    </row>
    <row r="22">
      <c r="A22" s="5" t="inlineStr">
        <is>
          <t xml:space="preserve">    Ready-mix concrete for foundation plinth</t>
        </is>
      </c>
      <c r="D22" s="13" t="inlineStr">
        <is>
          <t>As required</t>
        </is>
      </c>
    </row>
    <row r="23">
      <c r="A23" s="5" t="inlineStr">
        <is>
          <t xml:space="preserve">    Building sand</t>
        </is>
      </c>
      <c r="D23" s="13" t="inlineStr">
        <is>
          <t>As required</t>
        </is>
      </c>
    </row>
    <row r="24">
      <c r="A24" s="5" t="inlineStr">
        <is>
          <t xml:space="preserve">    Stone / grit aggregate (19mm)</t>
        </is>
      </c>
      <c r="D24" s="13" t="inlineStr">
        <is>
          <t>As required</t>
        </is>
      </c>
    </row>
    <row r="25">
      <c r="A25" s="5" t="inlineStr">
        <is>
          <t xml:space="preserve">    Reinforcing steel (rebar) for foundation</t>
        </is>
      </c>
      <c r="D25" s="13" t="inlineStr">
        <is>
          <t>As required</t>
        </is>
      </c>
    </row>
    <row r="26">
      <c r="A26" s="5" t="inlineStr">
        <is>
          <t xml:space="preserve">    Foundation shuttering / formwork</t>
        </is>
      </c>
      <c r="D26" s="13" t="inlineStr">
        <is>
          <t>As required</t>
        </is>
      </c>
    </row>
    <row r="27">
      <c r="A27" s="5" t="inlineStr">
        <is>
          <t xml:space="preserve">    Holding-down bolts (cast into plinth)</t>
        </is>
      </c>
      <c r="D27" s="13" t="inlineStr">
        <is>
          <t>Set</t>
        </is>
      </c>
    </row>
    <row r="28">
      <c r="A28" s="5" t="inlineStr">
        <is>
          <t xml:space="preserve">    Mast mounting brackets, U-bolts and clamps</t>
        </is>
      </c>
      <c r="D28" s="13" t="inlineStr">
        <is>
          <t>Set</t>
        </is>
      </c>
    </row>
    <row r="30">
      <c r="A30" s="12" t="inlineStr">
        <is>
          <t>Power System (Solar &amp; Battery)</t>
        </is>
      </c>
    </row>
    <row r="31">
      <c r="A31" s="5" t="inlineStr">
        <is>
          <t xml:space="preserve">    Outdoor equipment cabinet (weatherproof, IP-rated)</t>
        </is>
      </c>
      <c r="D31" s="13" t="inlineStr">
        <is>
          <t>1</t>
        </is>
      </c>
    </row>
    <row r="32">
      <c r="A32" s="5" t="inlineStr">
        <is>
          <t xml:space="preserve">    MPPT solar charge controller</t>
        </is>
      </c>
      <c r="D32" s="13" t="inlineStr">
        <is>
          <t>1</t>
        </is>
      </c>
    </row>
    <row r="33">
      <c r="A33" s="5" t="inlineStr">
        <is>
          <t xml:space="preserve">    Lithium battery bank and switchgear</t>
        </is>
      </c>
      <c r="D33" s="13" t="inlineStr">
        <is>
          <t>1</t>
        </is>
      </c>
    </row>
    <row r="34">
      <c r="A34" s="5" t="inlineStr">
        <is>
          <t xml:space="preserve">    Canadian Solar 680W monocrystalline panel</t>
        </is>
      </c>
      <c r="D34" s="13" t="inlineStr">
        <is>
          <t>4</t>
        </is>
      </c>
    </row>
    <row r="35">
      <c r="A35" s="5" t="inlineStr">
        <is>
          <t xml:space="preserve">    Solar panel mounting frame and rails</t>
        </is>
      </c>
      <c r="D35" s="13" t="inlineStr">
        <is>
          <t>Set</t>
        </is>
      </c>
    </row>
    <row r="36">
      <c r="A36" s="5" t="inlineStr">
        <is>
          <t xml:space="preserve">    Grid/solar inverter</t>
        </is>
      </c>
      <c r="D36" s="13" t="inlineStr">
        <is>
          <t>1</t>
        </is>
      </c>
    </row>
    <row r="37">
      <c r="A37" s="5" t="inlineStr">
        <is>
          <t xml:space="preserve">    Solar combiner box</t>
        </is>
      </c>
      <c r="D37" s="13" t="inlineStr">
        <is>
          <t>1</t>
        </is>
      </c>
    </row>
    <row r="38">
      <c r="A38" s="5" t="inlineStr">
        <is>
          <t xml:space="preserve">    DC and AC circuit breakers / isolators</t>
        </is>
      </c>
      <c r="D38" s="13" t="inlineStr">
        <is>
          <t>Set</t>
        </is>
      </c>
    </row>
    <row r="39">
      <c r="A39" s="5" t="inlineStr">
        <is>
          <t xml:space="preserve">    MC4 solar connectors</t>
        </is>
      </c>
      <c r="D39" s="13" t="inlineStr">
        <is>
          <t>Set</t>
        </is>
      </c>
    </row>
    <row r="41">
      <c r="A41" s="12" t="inlineStr">
        <is>
          <t>Cabling &amp; Conduit</t>
        </is>
      </c>
    </row>
    <row r="42">
      <c r="A42" s="5" t="inlineStr">
        <is>
          <t xml:space="preserve">    Outdoor-rated shielded Ethernet cable (Cat6A)</t>
        </is>
      </c>
      <c r="D42" s="13" t="inlineStr">
        <is>
          <t>As required</t>
        </is>
      </c>
    </row>
    <row r="43">
      <c r="A43" s="5" t="inlineStr">
        <is>
          <t xml:space="preserve">    LMR-400 low-loss antenna feeder cable</t>
        </is>
      </c>
      <c r="D43" s="13" t="inlineStr">
        <is>
          <t>As required</t>
        </is>
      </c>
    </row>
    <row r="44">
      <c r="A44" s="5" t="inlineStr">
        <is>
          <t xml:space="preserve">    Armored power cable</t>
        </is>
      </c>
      <c r="D44" s="13" t="inlineStr">
        <is>
          <t>As required</t>
        </is>
      </c>
    </row>
    <row r="45">
      <c r="A45" s="5" t="inlineStr">
        <is>
          <t xml:space="preserve">    Solar DC cable</t>
        </is>
      </c>
      <c r="D45" s="13" t="inlineStr">
        <is>
          <t>As required</t>
        </is>
      </c>
    </row>
    <row r="46">
      <c r="A46" s="5" t="inlineStr">
        <is>
          <t xml:space="preserve">    PVC conduit / cable trays</t>
        </is>
      </c>
      <c r="D46" s="13" t="inlineStr">
        <is>
          <t>As required</t>
        </is>
      </c>
    </row>
    <row r="47">
      <c r="A47" s="5" t="inlineStr">
        <is>
          <t xml:space="preserve">    Weatherproof cable glands and connectors</t>
        </is>
      </c>
      <c r="D47" s="13" t="inlineStr">
        <is>
          <t>Set</t>
        </is>
      </c>
    </row>
    <row r="48">
      <c r="A48" s="5" t="inlineStr">
        <is>
          <t xml:space="preserve">    Cable ties, cleats and management hardware</t>
        </is>
      </c>
      <c r="D48" s="13" t="inlineStr">
        <is>
          <t>Set</t>
        </is>
      </c>
    </row>
    <row r="50">
      <c r="A50" s="12" t="inlineStr">
        <is>
          <t>Earthing &amp; Lightning Protection</t>
        </is>
      </c>
    </row>
    <row r="51">
      <c r="A51" s="5" t="inlineStr">
        <is>
          <t xml:space="preserve">    Copper earthing rods</t>
        </is>
      </c>
      <c r="D51" s="13" t="inlineStr">
        <is>
          <t>2+</t>
        </is>
      </c>
    </row>
    <row r="52">
      <c r="A52" s="5" t="inlineStr">
        <is>
          <t xml:space="preserve">    Earthing conductor cable (16mm²)</t>
        </is>
      </c>
      <c r="D52" s="13" t="inlineStr">
        <is>
          <t>As required</t>
        </is>
      </c>
    </row>
    <row r="53">
      <c r="A53" s="5" t="inlineStr">
        <is>
          <t xml:space="preserve">    Earthing clamps and bonding hardware</t>
        </is>
      </c>
      <c r="D53" s="13" t="inlineStr">
        <is>
          <t>Set</t>
        </is>
      </c>
    </row>
    <row r="54">
      <c r="A54" s="5" t="inlineStr">
        <is>
          <t xml:space="preserve">    Mast lightning air terminal</t>
        </is>
      </c>
      <c r="D54" s="13" t="inlineStr">
        <is>
          <t>1</t>
        </is>
      </c>
    </row>
    <row r="56">
      <c r="A56" s="12" t="inlineStr">
        <is>
          <t>Installation, Commissioning &amp; Handover</t>
        </is>
      </c>
    </row>
    <row r="57">
      <c r="A57" s="5" t="inlineStr">
        <is>
          <t xml:space="preserve">    Site survey and RF link design</t>
        </is>
      </c>
      <c r="D57" s="13" t="inlineStr">
        <is>
          <t>Included</t>
        </is>
      </c>
    </row>
    <row r="58">
      <c r="A58" s="5" t="inlineStr">
        <is>
          <t xml:space="preserve">    Installation labour (2-technician team)</t>
        </is>
      </c>
      <c r="D58" s="13" t="inlineStr">
        <is>
          <t>Included</t>
        </is>
      </c>
    </row>
    <row r="59">
      <c r="A59" s="5" t="inlineStr">
        <is>
          <t xml:space="preserve">    Network configuration (switches, APs, VLANs, security)</t>
        </is>
      </c>
      <c r="D59" s="13" t="inlineStr">
        <is>
          <t>Included</t>
        </is>
      </c>
    </row>
    <row r="60">
      <c r="A60" s="5" t="inlineStr">
        <is>
          <t xml:space="preserve">    Commissioning and performance testing</t>
        </is>
      </c>
      <c r="D60" s="13" t="inlineStr">
        <is>
          <t>Included</t>
        </is>
      </c>
    </row>
    <row r="61">
      <c r="A61" s="5" t="inlineStr">
        <is>
          <t xml:space="preserve">    Staff training</t>
        </is>
      </c>
      <c r="D61" s="13" t="inlineStr">
        <is>
          <t>Included</t>
        </is>
      </c>
    </row>
    <row r="62">
      <c r="A62" s="5" t="inlineStr">
        <is>
          <t xml:space="preserve">    Documentation and handover pack</t>
        </is>
      </c>
      <c r="D62" s="13" t="inlineStr">
        <is>
          <t>Included</t>
        </is>
      </c>
    </row>
  </sheetData>
  <mergeCells count="51">
    <mergeCell ref="A25:C25"/>
    <mergeCell ref="A8:D8"/>
    <mergeCell ref="A37:C37"/>
    <mergeCell ref="A46:C46"/>
    <mergeCell ref="A20:D20"/>
    <mergeCell ref="A18:C18"/>
    <mergeCell ref="A27:C27"/>
    <mergeCell ref="A21:C21"/>
    <mergeCell ref="A26:C26"/>
    <mergeCell ref="A57:C57"/>
    <mergeCell ref="A54:C54"/>
    <mergeCell ref="A42:C42"/>
    <mergeCell ref="A9:D9"/>
    <mergeCell ref="A33:C33"/>
    <mergeCell ref="A47:C47"/>
    <mergeCell ref="A23:C23"/>
    <mergeCell ref="A32:C32"/>
    <mergeCell ref="A14:C14"/>
    <mergeCell ref="A30:D30"/>
    <mergeCell ref="A22:C22"/>
    <mergeCell ref="A17:C17"/>
    <mergeCell ref="A62:C62"/>
    <mergeCell ref="A53:C53"/>
    <mergeCell ref="A35:C35"/>
    <mergeCell ref="A43:C43"/>
    <mergeCell ref="A38:C38"/>
    <mergeCell ref="A52:C52"/>
    <mergeCell ref="A1:D1"/>
    <mergeCell ref="A28:C28"/>
    <mergeCell ref="A13:C13"/>
    <mergeCell ref="A44:C44"/>
    <mergeCell ref="A31:C31"/>
    <mergeCell ref="A58:C58"/>
    <mergeCell ref="A41:D41"/>
    <mergeCell ref="A39:C39"/>
    <mergeCell ref="A34:C34"/>
    <mergeCell ref="A15:C15"/>
    <mergeCell ref="A59:C59"/>
    <mergeCell ref="A48:C48"/>
    <mergeCell ref="A24:C24"/>
    <mergeCell ref="A51:C51"/>
    <mergeCell ref="A60:C60"/>
    <mergeCell ref="A56:D56"/>
    <mergeCell ref="A36:C36"/>
    <mergeCell ref="A11:C11"/>
    <mergeCell ref="A45:C45"/>
    <mergeCell ref="A12:D12"/>
    <mergeCell ref="A50:D50"/>
    <mergeCell ref="A61:C61"/>
    <mergeCell ref="A2:D2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Monthly Cost — Current (Herotel) vs Proposed (CTTX)</t>
        </is>
      </c>
    </row>
    <row r="2" ht="26" customHeight="1">
      <c r="A2" s="2" t="inlineStr">
        <is>
          <t>Herotel figures from Tax Invoice #8313058, dated 31 Aug 2026. CTTX/Vodacom figures are the confidential-cost-protected client price from the CTTX Vodacom Reseller Pricing Master (Notion, updated 15 June 2026) - never the underlying CTTX cost.</t>
        </is>
      </c>
    </row>
    <row r="4">
      <c r="A4" s="9" t="inlineStr">
        <is>
          <t>Current: Herotel Business (what the lodge pays today)</t>
        </is>
      </c>
    </row>
    <row r="5">
      <c r="A5" s="14" t="inlineStr">
        <is>
          <t>Item</t>
        </is>
      </c>
      <c r="B5" s="14" t="inlineStr">
        <is>
          <t>Excl. VAT</t>
        </is>
      </c>
      <c r="C5" s="14" t="inlineStr">
        <is>
          <t>Incl. VAT</t>
        </is>
      </c>
      <c r="D5" s="14" t="inlineStr"/>
    </row>
    <row r="6">
      <c r="A6" s="15" t="inlineStr">
        <is>
          <t>Business WTTB 100 Mbps Symmetrical</t>
        </is>
      </c>
      <c r="B6" s="16" t="n">
        <v>9999</v>
      </c>
      <c r="C6" s="16" t="n">
        <v>11498.85</v>
      </c>
      <c r="D6" s="15" t="n"/>
    </row>
    <row r="7">
      <c r="A7" s="15" t="inlineStr">
        <is>
          <t>Static IP</t>
        </is>
      </c>
      <c r="B7" s="16" t="n">
        <v>180</v>
      </c>
      <c r="C7" s="16" t="n">
        <v>207</v>
      </c>
      <c r="D7" s="15" t="n"/>
    </row>
    <row r="8">
      <c r="A8" s="15" t="inlineStr">
        <is>
          <t>Huawei Wi-Fi 6 AP 362 (Managed-lite, 9x 24-month term)</t>
        </is>
      </c>
      <c r="B8" s="16" t="n">
        <v>2061</v>
      </c>
      <c r="C8" s="16" t="n">
        <v>2370.15</v>
      </c>
      <c r="D8" s="15" t="n"/>
    </row>
    <row r="9">
      <c r="A9" s="15" t="inlineStr">
        <is>
          <t>HB Managed Wi-Fi (Lite) 0-5 (x2)</t>
        </is>
      </c>
      <c r="B9" s="16" t="n">
        <v>298</v>
      </c>
      <c r="C9" s="16" t="n">
        <v>342.7</v>
      </c>
      <c r="D9" s="15" t="n"/>
    </row>
    <row r="10">
      <c r="A10" s="15" t="inlineStr">
        <is>
          <t>Huawei Wi-Fi 6 AP 362 (Managed-lite, 14x 12-month term)</t>
        </is>
      </c>
      <c r="B10" s="16" t="n">
        <v>3206</v>
      </c>
      <c r="C10" s="16" t="n">
        <v>3686.9</v>
      </c>
      <c r="D10" s="15" t="n"/>
    </row>
    <row r="11">
      <c r="A11" s="17" t="inlineStr">
        <is>
          <t>Herotel Monthly Total (current)</t>
        </is>
      </c>
      <c r="B11" s="18">
        <f>SUM(B6:B10)</f>
        <v/>
      </c>
      <c r="C11" s="18">
        <f>SUM(C6:C10)</f>
        <v/>
      </c>
    </row>
    <row r="13">
      <c r="A13" s="9" t="inlineStr">
        <is>
          <t>Proposed: Vodacom Business Connect via CTTX (carrier connectivity only)</t>
        </is>
      </c>
    </row>
    <row r="14">
      <c r="A14" s="2" t="inlineStr">
        <is>
          <t>Uncontended (1:1), Uncapped, Unshaped, No FUP, Symmetrical, Business SLA, LTE backup, Huawei router included, 1 static IP standard. 36-month contract. Subject to feasibility confirmation.</t>
        </is>
      </c>
    </row>
    <row r="15">
      <c r="A15" s="14" t="inlineStr">
        <is>
          <t>Item</t>
        </is>
      </c>
      <c r="B15" s="14" t="inlineStr">
        <is>
          <t>Excl. VAT</t>
        </is>
      </c>
      <c r="C15" s="14" t="inlineStr">
        <is>
          <t>Incl. VAT</t>
        </is>
      </c>
      <c r="D15" s="14" t="inlineStr"/>
    </row>
    <row r="16">
      <c r="A16" s="15" t="inlineStr">
        <is>
          <t>Vodacom Business Connect 100 Mbps (Monthly Recurring Charge, 36-month term)</t>
        </is>
      </c>
      <c r="B16" s="16" t="n">
        <v>6281.74</v>
      </c>
      <c r="C16" s="16" t="n">
        <v>7224</v>
      </c>
      <c r="D16" s="15" t="n"/>
    </row>
    <row r="17">
      <c r="A17" s="15" t="inlineStr">
        <is>
          <t>Once-off Connection Fee (NRC) - not monthly, shown for reference</t>
        </is>
      </c>
      <c r="B17" s="16" t="n">
        <v>3130</v>
      </c>
      <c r="C17" s="16" t="n">
        <v>3599</v>
      </c>
      <c r="D17" s="15" t="n"/>
    </row>
    <row r="18">
      <c r="A18" s="17" t="inlineStr">
        <is>
          <t>Vodacom-Only Monthly Total</t>
        </is>
      </c>
      <c r="B18" s="18">
        <f>B16</f>
        <v/>
      </c>
      <c r="C18" s="18">
        <f>C16</f>
        <v/>
      </c>
    </row>
    <row r="20">
      <c r="A20" s="9" t="inlineStr">
        <is>
          <t>Optional Add-On: CTTX Managed Service Retainer (recommended)</t>
        </is>
      </c>
    </row>
    <row r="21">
      <c r="A21" s="2" t="inlineStr">
        <is>
          <t>Remote monitoring (Cambium cnMaestro + Victron), proactive maintenance, quarterly on-site visits, battery/solar health checks, priority emergency support. CTTX does not deploy unmonitored infrastructure as a matter of policy.</t>
        </is>
      </c>
    </row>
    <row r="22">
      <c r="A22" s="14" t="inlineStr">
        <is>
          <t>Item</t>
        </is>
      </c>
      <c r="B22" s="14" t="inlineStr">
        <is>
          <t>Excl. VAT</t>
        </is>
      </c>
      <c r="C22" s="14" t="inlineStr">
        <is>
          <t>Incl. VAT</t>
        </is>
      </c>
      <c r="D22" s="14" t="inlineStr"/>
    </row>
    <row r="23">
      <c r="A23" s="15" t="inlineStr">
        <is>
          <t>Managed Service Retainer (remote monitoring, maintenance, support)</t>
        </is>
      </c>
      <c r="B23" s="16" t="n">
        <v>1500</v>
      </c>
      <c r="C23" s="16" t="n">
        <v>1725</v>
      </c>
      <c r="D23" s="15" t="n"/>
    </row>
    <row r="25">
      <c r="A25" s="9" t="inlineStr">
        <is>
          <t>Recommended Path: Vodacom + Managed Retainer</t>
        </is>
      </c>
    </row>
    <row r="26">
      <c r="A26" s="3" t="inlineStr">
        <is>
          <t>Recommended Monthly Total (Vodacom + Retainer)</t>
        </is>
      </c>
      <c r="B26" s="18">
        <f>B16+B23</f>
        <v/>
      </c>
      <c r="C26" s="8">
        <f>C16+C23</f>
        <v/>
      </c>
    </row>
    <row r="27">
      <c r="A27" s="17" t="inlineStr">
        <is>
          <t>Monthly saving vs Herotel (recommended path, incl. VAT)</t>
        </is>
      </c>
      <c r="C27" s="19">
        <f>C11-C26</f>
        <v/>
      </c>
    </row>
    <row r="28">
      <c r="A28" s="17" t="inlineStr">
        <is>
          <t>Monthly saving vs Herotel (Vodacom-only, self-maintained, incl. VAT)</t>
        </is>
      </c>
      <c r="C28" s="19">
        <f>C11-C18</f>
        <v/>
      </c>
    </row>
  </sheetData>
  <mergeCells count="8">
    <mergeCell ref="A2:F2"/>
    <mergeCell ref="A13:F13"/>
    <mergeCell ref="A14:F14"/>
    <mergeCell ref="A1:F1"/>
    <mergeCell ref="A4:F4"/>
    <mergeCell ref="A20:F20"/>
    <mergeCell ref="A21:F2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4" customWidth="1" min="8" max="8"/>
  </cols>
  <sheetData>
    <row r="1" ht="28" customHeight="1">
      <c r="A1" s="1" t="inlineStr">
        <is>
          <t>5-Year Cash Flow — Build vs Keep Renting</t>
        </is>
      </c>
    </row>
    <row r="2" ht="40" customHeight="1">
      <c r="A2" s="2" t="inlineStr">
        <is>
          <t>Year 0 = build year (deposit and construction). Years 1-5 are projected here deliberately, rather than compounding the escalation assumption out to a full decade. The network's engineered/expected working life is longer (see tab 5) and CTTX's support commitment runs 10 years - this cash flow is the near-term financial case, not a claim about how long the equipment lasts. All figures incl. VAT.</t>
        </is>
      </c>
    </row>
    <row r="4">
      <c r="A4" s="17" t="inlineStr">
        <is>
          <t>Annual escalation rate (applied to both Herotel and Vodacom monthly fees)</t>
        </is>
      </c>
      <c r="B4" s="20" t="n">
        <v>0.08</v>
      </c>
      <c r="C4" s="21" t="inlineStr">
        <is>
          <t>&lt;- editable assumption; see tab 5 for why 8% was used</t>
        </is>
      </c>
    </row>
    <row r="6">
      <c r="A6" s="17" t="inlineStr">
        <is>
          <t>Year</t>
        </is>
      </c>
      <c r="B6" s="11" t="n">
        <v>0</v>
      </c>
      <c r="C6" s="11" t="n">
        <v>1</v>
      </c>
      <c r="D6" s="11" t="n">
        <v>2</v>
      </c>
      <c r="E6" s="11" t="n">
        <v>3</v>
      </c>
      <c r="F6" s="11" t="n">
        <v>4</v>
      </c>
      <c r="G6" s="11" t="n">
        <v>5</v>
      </c>
    </row>
    <row r="7">
      <c r="A7" s="9" t="inlineStr">
        <is>
          <t>Path A: Stay with Herotel (do nothing)</t>
        </is>
      </c>
    </row>
    <row r="8">
      <c r="A8" s="5" t="inlineStr">
        <is>
          <t>Herotel monthly bill (escalated)</t>
        </is>
      </c>
      <c r="B8" s="22">
        <f>'3. Monthly Cost Comparison'!$C$11</f>
        <v/>
      </c>
      <c r="C8" s="22">
        <f>B8*(1+$B$4)</f>
        <v/>
      </c>
      <c r="D8" s="22">
        <f>C8*(1+$B$4)</f>
        <v/>
      </c>
      <c r="E8" s="22">
        <f>D8*(1+$B$4)</f>
        <v/>
      </c>
      <c r="F8" s="22">
        <f>E8*(1+$B$4)</f>
        <v/>
      </c>
      <c r="G8" s="22">
        <f>F8*(1+$B$4)</f>
        <v/>
      </c>
    </row>
    <row r="9">
      <c r="A9" s="5" t="inlineStr">
        <is>
          <t>Herotel annual cost</t>
        </is>
      </c>
      <c r="B9" s="22">
        <f>B8*12</f>
        <v/>
      </c>
      <c r="C9" s="22">
        <f>C8*12</f>
        <v/>
      </c>
      <c r="D9" s="22">
        <f>D8*12</f>
        <v/>
      </c>
      <c r="E9" s="22">
        <f>E8*12</f>
        <v/>
      </c>
      <c r="F9" s="22">
        <f>F8*12</f>
        <v/>
      </c>
      <c r="G9" s="22">
        <f>G8*12</f>
        <v/>
      </c>
    </row>
    <row r="10">
      <c r="A10" s="17" t="inlineStr">
        <is>
          <t>Herotel cumulative cost</t>
        </is>
      </c>
      <c r="B10" s="18">
        <f>B9</f>
        <v/>
      </c>
      <c r="C10" s="18">
        <f>B10+C9</f>
        <v/>
      </c>
      <c r="D10" s="18">
        <f>C10+D9</f>
        <v/>
      </c>
      <c r="E10" s="18">
        <f>D10+E9</f>
        <v/>
      </c>
      <c r="F10" s="18">
        <f>E10+F9</f>
        <v/>
      </c>
      <c r="G10" s="18">
        <f>F10+G9</f>
        <v/>
      </c>
    </row>
    <row r="12">
      <c r="A12" s="9" t="inlineStr">
        <is>
          <t>Path B: Build the CTTX private network (recommended - Vodacom + Managed Retainer)</t>
        </is>
      </c>
    </row>
    <row r="13">
      <c r="A13" s="5" t="inlineStr">
        <is>
          <t>Build cost (one-time, Year 0 only)</t>
        </is>
      </c>
      <c r="B13" s="22">
        <f>'2. Network Build Investment'!$C$6</f>
        <v/>
      </c>
      <c r="C13" s="22" t="n">
        <v>0</v>
      </c>
      <c r="D13" s="22" t="n">
        <v>0</v>
      </c>
      <c r="E13" s="22" t="n">
        <v>0</v>
      </c>
      <c r="F13" s="22" t="n">
        <v>0</v>
      </c>
      <c r="G13" s="22" t="n">
        <v>0</v>
      </c>
    </row>
    <row r="14">
      <c r="A14" s="5" t="inlineStr">
        <is>
          <t>Vodacom once-off connection fee (Year 0 only)</t>
        </is>
      </c>
      <c r="B14" s="22">
        <f>'3. Monthly Cost Comparison'!$C$17</f>
        <v/>
      </c>
      <c r="C14" s="22" t="n">
        <v>0</v>
      </c>
      <c r="D14" s="22" t="n">
        <v>0</v>
      </c>
      <c r="E14" s="22" t="n">
        <v>0</v>
      </c>
      <c r="F14" s="22" t="n">
        <v>0</v>
      </c>
      <c r="G14" s="22" t="n">
        <v>0</v>
      </c>
    </row>
    <row r="15">
      <c r="A15" s="5" t="inlineStr">
        <is>
          <t>CTTX monthly recurring (Vodacom + Retainer, escalated)</t>
        </is>
      </c>
      <c r="B15" s="22" t="n">
        <v>0</v>
      </c>
      <c r="C15" s="22">
        <f>'3. Monthly Cost Comparison'!$C$26</f>
        <v/>
      </c>
      <c r="D15" s="22">
        <f>C15*(1+$B$4)</f>
        <v/>
      </c>
      <c r="E15" s="22">
        <f>D15*(1+$B$4)</f>
        <v/>
      </c>
      <c r="F15" s="22">
        <f>E15*(1+$B$4)</f>
        <v/>
      </c>
      <c r="G15" s="22">
        <f>F15*(1+$B$4)</f>
        <v/>
      </c>
    </row>
    <row r="16">
      <c r="A16" s="5" t="inlineStr">
        <is>
          <t>CTTX annual recurring cost</t>
        </is>
      </c>
      <c r="B16" s="22">
        <f>B15*12</f>
        <v/>
      </c>
      <c r="C16" s="22">
        <f>C15*12</f>
        <v/>
      </c>
      <c r="D16" s="22">
        <f>D15*12</f>
        <v/>
      </c>
      <c r="E16" s="22">
        <f>E15*12</f>
        <v/>
      </c>
      <c r="F16" s="22">
        <f>F15*12</f>
        <v/>
      </c>
      <c r="G16" s="22">
        <f>G15*12</f>
        <v/>
      </c>
    </row>
    <row r="17">
      <c r="A17" s="17" t="inlineStr">
        <is>
          <t>CTTX cumulative cost</t>
        </is>
      </c>
      <c r="B17" s="18">
        <f>B13+B14+B16</f>
        <v/>
      </c>
      <c r="C17" s="18">
        <f>B17+C16</f>
        <v/>
      </c>
      <c r="D17" s="18">
        <f>C17+D16</f>
        <v/>
      </c>
      <c r="E17" s="18">
        <f>D17+E16</f>
        <v/>
      </c>
      <c r="F17" s="18">
        <f>E17+F16</f>
        <v/>
      </c>
      <c r="G17" s="18">
        <f>F17+G16</f>
        <v/>
      </c>
    </row>
    <row r="19">
      <c r="A19" s="9" t="inlineStr">
        <is>
          <t>Cumulative Savings (Path A minus Path B)</t>
        </is>
      </c>
    </row>
    <row r="20">
      <c r="A20" s="17" t="inlineStr">
        <is>
          <t>Cumulative savings from building (negative = still paying off the build)</t>
        </is>
      </c>
      <c r="B20" s="23">
        <f>B10-B17</f>
        <v/>
      </c>
      <c r="C20" s="23">
        <f>C10-C17</f>
        <v/>
      </c>
      <c r="D20" s="23">
        <f>D10-D17</f>
        <v/>
      </c>
      <c r="E20" s="23">
        <f>E10-E17</f>
        <v/>
      </c>
      <c r="F20" s="23">
        <f>F10-F17</f>
        <v/>
      </c>
      <c r="G20" s="23">
        <f>G10-G17</f>
        <v/>
      </c>
    </row>
    <row r="21">
      <c r="A21" s="17" t="inlineStr">
        <is>
          <t>Return on Investment (cumulative savings vs. Herotel, as % of total upfront cash outlay)</t>
        </is>
      </c>
      <c r="B21" s="24">
        <f>B20/$B$17</f>
        <v/>
      </c>
      <c r="C21" s="24">
        <f>C20/$B$17</f>
        <v/>
      </c>
      <c r="D21" s="24">
        <f>D20/$B$17</f>
        <v/>
      </c>
      <c r="E21" s="24">
        <f>E20/$B$17</f>
        <v/>
      </c>
      <c r="F21" s="24">
        <f>F20/$B$17</f>
        <v/>
      </c>
      <c r="G21" s="24">
        <f>G20/$B$17</f>
        <v/>
      </c>
    </row>
    <row r="23">
      <c r="A23" s="9" t="inlineStr">
        <is>
          <t>Payback Calculation</t>
        </is>
      </c>
    </row>
    <row r="24">
      <c r="A24" s="5" t="inlineStr">
        <is>
          <t>Last year cumulative savings still negative or zero (position in range)</t>
        </is>
      </c>
      <c r="B24" s="25">
        <f>MATCH(0,B20:G20,1)</f>
        <v/>
      </c>
    </row>
    <row r="25">
      <c r="A25" s="5" t="inlineStr">
        <is>
          <t>That year number</t>
        </is>
      </c>
      <c r="B25" s="25">
        <f>INDEX(B6:G6,B24)</f>
        <v/>
      </c>
    </row>
    <row r="26">
      <c r="A26" s="5" t="inlineStr">
        <is>
          <t>Cumulative savings at that year</t>
        </is>
      </c>
      <c r="B26" s="22">
        <f>INDEX(B20:G20,B24)</f>
        <v/>
      </c>
    </row>
    <row r="27">
      <c r="A27" s="5" t="inlineStr">
        <is>
          <t>Cumulative savings the following year</t>
        </is>
      </c>
      <c r="B27" s="22">
        <f>INDEX(B20:G20,B24+1)</f>
        <v/>
      </c>
    </row>
    <row r="28">
      <c r="A28" s="5" t="inlineStr">
        <is>
          <t>Payback point (years, decimal)</t>
        </is>
      </c>
      <c r="B28" s="26">
        <f>B25+(-B26)/(B27-B26)</f>
        <v/>
      </c>
    </row>
    <row r="29">
      <c r="A29" s="17" t="inlineStr">
        <is>
          <t>Payback point (plain English)</t>
        </is>
      </c>
      <c r="B29" s="27">
        <f>TEXT(INT(B28),"0")&amp;" years, "&amp;TEXT(ROUND((B28-INT(B28))*12,0),"0")&amp;" months"</f>
        <v/>
      </c>
    </row>
    <row r="31">
      <c r="A31" s="17" t="inlineStr">
        <is>
          <t>Total 5-year saving vs Herotel (recommended path)</t>
        </is>
      </c>
      <c r="I31" s="28">
        <f>G20</f>
        <v/>
      </c>
    </row>
    <row r="32">
      <c r="A32" s="17" t="inlineStr">
        <is>
          <t>5-Year ROI (total saving as % of total upfront cash outlay)</t>
        </is>
      </c>
      <c r="I32" s="29">
        <f>G21</f>
        <v/>
      </c>
    </row>
  </sheetData>
  <mergeCells count="7">
    <mergeCell ref="A2:H2"/>
    <mergeCell ref="A12:G12"/>
    <mergeCell ref="C4:H4"/>
    <mergeCell ref="A7:G7"/>
    <mergeCell ref="A1:H1"/>
    <mergeCell ref="A19:G19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55" customWidth="1" min="3" max="3"/>
  </cols>
  <sheetData>
    <row r="1" ht="28" customHeight="1">
      <c r="A1" s="1" t="inlineStr">
        <is>
          <t>Assumptions, Scope, and What's Not Yet Confirmed</t>
        </is>
      </c>
    </row>
    <row r="3">
      <c r="A3" s="9" t="inlineStr">
        <is>
          <t>Financial Assumptions</t>
        </is>
      </c>
    </row>
    <row r="4">
      <c r="A4" s="30" t="inlineStr">
        <is>
          <t>Assumption</t>
        </is>
      </c>
      <c r="B4" s="30" t="inlineStr">
        <is>
          <t>Value</t>
        </is>
      </c>
      <c r="C4" s="14" t="inlineStr">
        <is>
          <t>Basis</t>
        </is>
      </c>
    </row>
    <row r="5" ht="30" customHeight="1">
      <c r="A5" s="5" t="inlineStr">
        <is>
          <t>Annual price escalation (Herotel and Vodacom)</t>
        </is>
      </c>
      <c r="B5" s="17" t="inlineStr">
        <is>
          <t>8% p.a.</t>
        </is>
      </c>
      <c r="C5" s="31" t="inlineStr">
        <is>
          <t>Not confirmed by either party - a typical CPI-linked telecom escalation in South Africa. Editable on tab 4; change it and every formula recalculates.</t>
        </is>
      </c>
    </row>
    <row r="6" ht="30" customHeight="1">
      <c r="A6" s="5" t="inlineStr">
        <is>
          <t>VAT rate</t>
        </is>
      </c>
      <c r="B6" s="17" t="inlineStr">
        <is>
          <t>15%</t>
        </is>
      </c>
      <c r="C6" s="31" t="inlineStr">
        <is>
          <t>Current South African VAT rate.</t>
        </is>
      </c>
    </row>
    <row r="7" ht="30" customHeight="1">
      <c r="A7" s="5" t="inlineStr">
        <is>
          <t>Managed Service Retainer</t>
        </is>
      </c>
      <c r="B7" s="17" t="inlineStr">
        <is>
          <t>R1,500/month excl. VAT</t>
        </is>
      </c>
      <c r="C7" s="31" t="inlineStr">
        <is>
          <t>Set by Gerhard (26 Sept 2026) - a lighter monthly retainer to keep the recurring bill low relative to Herotel and support the case for the build investment.</t>
        </is>
      </c>
    </row>
    <row r="8" ht="30" customHeight="1">
      <c r="A8" s="5" t="inlineStr">
        <is>
          <t>Contract term - Vodacom Business Connect</t>
        </is>
      </c>
      <c r="B8" s="17" t="inlineStr">
        <is>
          <t>36 months</t>
        </is>
      </c>
      <c r="C8" s="31" t="inlineStr">
        <is>
          <t>Confirmed 28 Sept 2026 against the CTTX Vodacom Reseller price book (Duane Forlee, Vodacom, 29 May 2026): the 36-month rate is slightly lower than 24-month. Monthly figure in this model is the confirmed 36-month client price at CTTX's standard 20% markup.</t>
        </is>
      </c>
    </row>
    <row r="10">
      <c r="A10" s="9" t="inlineStr">
        <is>
          <t>Design Assumptions</t>
        </is>
      </c>
    </row>
    <row r="11" ht="32" customHeight="1">
      <c r="A11" s="31" t="inlineStr">
        <is>
          <t>Single 9m mast carrying two 90-degree sector antennas (confirmed by Gerhard, 26 Sept 2026) - replaces the lodge's existing leaning gum-pole mount. This is NOT a two-site build; earlier drafts of this costing incorrectly read the field survey's two radio labels as two separate physical locations before this was corrected.</t>
        </is>
      </c>
    </row>
    <row r="12" ht="32" customHeight="1">
      <c r="A12" s="31" t="inlineStr">
        <is>
          <t>Line-of-sight confirmed for all 28 subscriber links by Abel Ringisai's field RF survey (KML export, 22 Sept 2026).</t>
        </is>
      </c>
    </row>
    <row r="13" ht="32" customHeight="1">
      <c r="A13" s="31" t="inlineStr">
        <is>
          <t>The longest links (1.7km-3.0km, to the staff village and Director's House) sit at the edge of the serving sector's range and still need a link-budget check to confirm they sustain full 100 Mbps symmetrical - flagged, not yet resolved.</t>
        </is>
      </c>
    </row>
    <row r="14" ht="32" customHeight="1">
      <c r="A14" s="31" t="inlineStr">
        <is>
          <t>Cable run priced at an average 40m per run - to be confirmed once exact distances are measured on site.</t>
        </is>
      </c>
    </row>
    <row r="15" ht="32" customHeight="1">
      <c r="A15" s="31" t="inlineStr">
        <is>
          <t>Vodacom Business Connect feasibility for this specific site has not yet been formally submitted/approved.</t>
        </is>
      </c>
    </row>
    <row r="17">
      <c r="A17" s="9" t="inlineStr">
        <is>
          <t>What's Included in the 10-Year Support</t>
        </is>
      </c>
    </row>
    <row r="18" ht="32" customHeight="1">
      <c r="A18" s="31" t="inlineStr">
        <is>
          <t>Years 1-3: monthly remote monitoring, quarterly on-site maintenance, 24/7 emergency support, proactive performance reporting, warranty-covered equipment troubleshooting/replacement.</t>
        </is>
      </c>
    </row>
    <row r="19" ht="32" customHeight="1">
      <c r="A19" s="31" t="inlineStr">
        <is>
          <t>Years 4-10: ongoing remote monitoring, annual on-site maintenance/assessment, 24/7 support continuation, planned technology refresh, performance reporting.</t>
        </is>
      </c>
    </row>
    <row r="20" ht="32" customHeight="1">
      <c r="A20" s="31" t="inlineStr">
        <is>
          <t>Throughout: no vendor lock-in on the owned hardware, scalability support, staff training and documentation.</t>
        </is>
      </c>
    </row>
    <row r="22">
      <c r="A22" s="9" t="inlineStr">
        <is>
          <t>What's Excluded / Not Yet Priced</t>
        </is>
      </c>
    </row>
    <row r="23" ht="32" customHeight="1">
      <c r="A23" s="31" t="inlineStr">
        <is>
          <t>Major component replacement (Lithium battery bank, inverter) near the end of the 10-year term - typical service life for this equipment is 8-10 years, so a replacement reserve may be needed in years 8-10 and is not included in the build cost above.</t>
        </is>
      </c>
    </row>
    <row r="24" ht="32" customHeight="1">
      <c r="A24" s="31" t="inlineStr">
        <is>
          <t>Trenching or underground civil works (none required - this is a wireless solution).</t>
        </is>
      </c>
    </row>
    <row r="25" ht="32" customHeight="1">
      <c r="A25" s="31" t="inlineStr">
        <is>
          <t>CCTV cameras, POS hardware, or other endpoint devices not listed in the hardware BOM.</t>
        </is>
      </c>
    </row>
    <row r="26" ht="32" customHeight="1">
      <c r="A26" s="31" t="inlineStr">
        <is>
          <t>Travel/accommodation beyond a day-trip assumption from Port Elizabeth (~1h45 drive) - to be confirmed if overnight stays are required during the 3-day install.</t>
        </is>
      </c>
    </row>
    <row r="27" ht="32" customHeight="1">
      <c r="A27" s="31" t="inlineStr">
        <is>
          <t>Any scope beyond the confirmed coverage zones (28 subscriber sites) without a signed change order.</t>
        </is>
      </c>
    </row>
  </sheetData>
  <mergeCells count="18">
    <mergeCell ref="A10:C10"/>
    <mergeCell ref="A25:C25"/>
    <mergeCell ref="A13:C13"/>
    <mergeCell ref="A19:C19"/>
    <mergeCell ref="A11:C11"/>
    <mergeCell ref="A1:C1"/>
    <mergeCell ref="A23:C23"/>
    <mergeCell ref="A14:C14"/>
    <mergeCell ref="A22:C22"/>
    <mergeCell ref="A17:C17"/>
    <mergeCell ref="A18:C18"/>
    <mergeCell ref="A27:C27"/>
    <mergeCell ref="A3:C3"/>
    <mergeCell ref="A12:C12"/>
    <mergeCell ref="A20:C20"/>
    <mergeCell ref="A24:C24"/>
    <mergeCell ref="A26:C26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2026-09-28T11:57:37Z</dcterms:created>
  <dcterms:modified xsi:type="dcterms:W3CDTF">2026-09-28T11:57:37Z</dcterms:modified>
</cp:coreProperties>
</file>