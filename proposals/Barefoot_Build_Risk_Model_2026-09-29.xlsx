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Inputs" sheetId="1" state="visible" r:id="rId1"/>
    <sheet name="2. Cost Build-up" sheetId="2" state="visible" r:id="rId2"/>
    <sheet name="3. Risk Register" sheetId="3" state="visible" r:id="rId3"/>
    <sheet name="4. Client ROI" sheetId="4" state="visible" r:id="rId4"/>
    <sheet name="5. 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;[Red]-#,##0.00"/>
    <numFmt numFmtId="166" formatCode="0.0"/>
  </numFmts>
  <fonts count="2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9"/>
    </font>
    <font>
      <name val="Calibri"/>
      <b val="1"/>
    </font>
    <font>
      <name val="Calibri"/>
    </font>
    <font>
      <name val="Calibri"/>
      <b val="1"/>
      <color rgb="00FFFFFF"/>
    </font>
    <font>
      <name val="Calibri"/>
      <b val="1"/>
      <color rgb="00C00000"/>
    </font>
    <font>
      <name val=""/>
    </font>
    <font>
      <name val="6m cost is an estimate; LOS at 6m unconfirmed"/>
    </font>
    <font>
      <name val="10 today; 3 if clustered on LAN"/>
    </font>
    <font>
      <name val="R12/m is below rate card for armoured cable — see risk"/>
    </font>
    <font>
      <name val="Abel's BOM has 25 outdoor; challenge says ~4"/>
    </font>
    <font>
      <name val="Quote valid to 6 Oct; cash terms"/>
    </font>
    <font>
      <name val="Calibri"/>
      <b val="1"/>
      <sz val="12"/>
    </font>
    <font>
      <name val="Calibri"/>
      <b val="1"/>
      <color rgb="00008000"/>
      <sz val="12"/>
    </font>
    <font>
      <name val="Calibri"/>
      <b val="1"/>
      <sz val="11"/>
    </font>
    <font>
      <name val="Calibri"/>
      <b val="1"/>
      <color rgb="00000000"/>
      <sz val="11"/>
    </font>
    <font>
      <name val="Calibri"/>
      <b val="1"/>
      <color rgb="00C00000"/>
      <sz val="12"/>
    </font>
    <font>
      <name val="Calibri"/>
      <color rgb="00C00000"/>
    </font>
    <font>
      <name val="Calibri"/>
      <color rgb="00000000"/>
    </font>
    <font>
      <name val="Calibri"/>
      <b val="1"/>
      <color rgb="0000800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165" fontId="4" fillId="3" borderId="0" pivotButton="0" quotePrefix="0" xfId="0"/>
    <xf numFmtId="1" fontId="4" fillId="2" borderId="0" pivotButton="0" quotePrefix="0" xfId="0"/>
    <xf numFmtId="1" fontId="4" fillId="3" borderId="0" pivotButton="0" quotePrefix="0" xfId="0"/>
    <xf numFmtId="0" fontId="5" fillId="4" borderId="0" applyAlignment="1" pivotButton="0" quotePrefix="0" xfId="0">
      <alignment vertical="center" wrapText="1"/>
    </xf>
    <xf numFmtId="0" fontId="3" fillId="5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" fontId="0" fillId="3" borderId="0" pivotButton="0" quotePrefix="0" xfId="0"/>
    <xf numFmtId="165" fontId="0" fillId="3" borderId="0" pivotButton="0" quotePrefix="0" xfId="0"/>
    <xf numFmtId="0" fontId="8" fillId="0" borderId="0" pivotButton="0" quotePrefix="0" xfId="0"/>
    <xf numFmtId="165" fontId="3" fillId="5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5" fontId="13" fillId="5" borderId="0" pivotButton="0" quotePrefix="0" xfId="0"/>
    <xf numFmtId="165" fontId="2" fillId="0" borderId="0" pivotButton="0" quotePrefix="0" xfId="0"/>
    <xf numFmtId="165" fontId="3" fillId="0" borderId="0" pivotButton="0" quotePrefix="0" xfId="0"/>
    <xf numFmtId="165" fontId="14" fillId="5" borderId="0" pivotButton="0" quotePrefix="0" xfId="0"/>
    <xf numFmtId="164" fontId="3" fillId="0" borderId="0" pivotButton="0" quotePrefix="0" xfId="0"/>
    <xf numFmtId="164" fontId="0" fillId="2" borderId="0" pivotButton="0" quotePrefix="0" xfId="0"/>
    <xf numFmtId="0" fontId="15" fillId="0" borderId="0" pivotButton="0" quotePrefix="0" xfId="0"/>
    <xf numFmtId="165" fontId="16" fillId="5" borderId="0" pivotButton="0" quotePrefix="0" xfId="0"/>
    <xf numFmtId="165" fontId="17" fillId="5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0" fontId="2" fillId="0" borderId="0" applyAlignment="1" pivotButton="0" quotePrefix="0" xfId="0">
      <alignment wrapText="1"/>
    </xf>
    <xf numFmtId="0" fontId="5" fillId="4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70" customWidth="1" min="3" max="3"/>
  </cols>
  <sheetData>
    <row r="1">
      <c r="A1" s="1" t="inlineStr">
        <is>
          <t>Barefoot Addo — Build Cost &amp; Risk Model (INTERNAL)</t>
        </is>
      </c>
    </row>
    <row r="2">
      <c r="A2" s="2" t="inlineStr">
        <is>
          <t>Yellow = input. Orange = TBC (my estimate until Abel/Gerhard confirms). Every other sheet reads from here. Ex VAT unless stated. 29 Sep 2026.</t>
        </is>
      </c>
    </row>
    <row r="4">
      <c r="A4" s="3" t="inlineStr">
        <is>
          <t>A. Commercial</t>
        </is>
      </c>
    </row>
    <row r="5">
      <c r="A5" s="4" t="inlineStr">
        <is>
          <t>VAT rate</t>
        </is>
      </c>
      <c r="B5" s="5" t="n">
        <v>0.15</v>
      </c>
      <c r="C5" s="2" t="inlineStr">
        <is>
          <t>SARS</t>
        </is>
      </c>
    </row>
    <row r="6">
      <c r="A6" s="4" t="inlineStr">
        <is>
          <t>Target sell price to client (incl VAT)</t>
        </is>
      </c>
      <c r="B6" s="6" t="n">
        <v>335000</v>
      </c>
      <c r="C6" s="2" t="inlineStr">
        <is>
          <t>29 Sep: client schedule generated at R335,000 (15.2% GP at current inputs). Change to test.</t>
        </is>
      </c>
    </row>
    <row r="7">
      <c r="A7" s="4" t="inlineStr">
        <is>
          <t>Vodacom BC 100 Mbps 36m — CTTX cost / month</t>
        </is>
      </c>
      <c r="B7" s="6" t="n">
        <v>4152.04</v>
      </c>
      <c r="C7" s="2" t="inlineStr">
        <is>
          <t>Fixed Services AAG 092026 (Duane, 14 Sep 2026)</t>
        </is>
      </c>
    </row>
    <row r="8">
      <c r="A8" s="4" t="inlineStr">
        <is>
          <t>Vodacom markup</t>
        </is>
      </c>
      <c r="B8" s="5" t="n">
        <v>0.2</v>
      </c>
      <c r="C8" s="2" t="inlineStr">
        <is>
          <t>Gerhard: 20% on this deal (policy recommends 25% for 100 Mbps)</t>
        </is>
      </c>
    </row>
    <row r="9">
      <c r="A9" s="4" t="inlineStr">
        <is>
          <t>Vodacom 3rd-party site surcharge / month (cost)</t>
        </is>
      </c>
      <c r="B9" s="7" t="n">
        <v>0</v>
      </c>
      <c r="C9" s="2" t="inlineStr">
        <is>
          <t>AAG: '3rd-party infrastructure will incur additional cost'. Olifants Nek = Telkom site. Asked Duane 29 Sep.</t>
        </is>
      </c>
    </row>
    <row r="10">
      <c r="A10" s="4" t="inlineStr">
        <is>
          <t>Vodacom installation (NRC) — cost</t>
        </is>
      </c>
      <c r="B10" s="6" t="n">
        <v>2607.83</v>
      </c>
      <c r="C10" s="2" t="inlineStr">
        <is>
          <t>AAG 092026</t>
        </is>
      </c>
    </row>
    <row r="11">
      <c r="A11" s="4" t="inlineStr">
        <is>
          <t>CTTX managed-service retainer / month (client, ex VAT)</t>
        </is>
      </c>
      <c r="B11" s="6" t="n">
        <v>1500</v>
      </c>
      <c r="C11" s="2" t="inlineStr">
        <is>
          <t>Gerhard, 26 Sep</t>
        </is>
      </c>
    </row>
    <row r="12">
      <c r="A12" s="4" t="inlineStr">
        <is>
          <t>Client's current monthly bill (incl VAT)</t>
        </is>
      </c>
      <c r="B12" s="6" t="n">
        <v>18105.6</v>
      </c>
      <c r="C12" s="2" t="inlineStr">
        <is>
          <t>Herotel invoice 8313058, 31 Aug 2026</t>
        </is>
      </c>
    </row>
    <row r="13">
      <c r="A13" s="4" t="inlineStr">
        <is>
          <t>Client finance rate p.a. (if they apply for rent-to-own)</t>
        </is>
      </c>
      <c r="B13" s="5" t="n">
        <v>0.12</v>
      </c>
      <c r="C13" s="2" t="inlineStr">
        <is>
          <t>Gerhard's expectation, 29 Sep — client applies directly; CTTX is paid cash</t>
        </is>
      </c>
    </row>
    <row r="14">
      <c r="A14" s="4" t="inlineStr">
        <is>
          <t>Finance term (months)</t>
        </is>
      </c>
      <c r="B14" s="8" t="n">
        <v>36</v>
      </c>
      <c r="C14" s="2" t="inlineStr"/>
    </row>
    <row r="15"/>
    <row r="16">
      <c r="A16" s="3" t="inlineStr">
        <is>
          <t>B. Quantities (scenario switches)</t>
        </is>
      </c>
    </row>
    <row r="17">
      <c r="A17" s="4" t="inlineStr">
        <is>
          <t>Base station radios (ePMP 4500L)</t>
        </is>
      </c>
      <c r="B17" s="8" t="n">
        <v>2</v>
      </c>
      <c r="C17" s="2" t="inlineStr">
        <is>
          <t>Abel BOM 29 Sep</t>
        </is>
      </c>
    </row>
    <row r="18">
      <c r="A18" s="4" t="inlineStr">
        <is>
          <t>Sector antennas 90/120°</t>
        </is>
      </c>
      <c r="B18" s="8" t="n">
        <v>2</v>
      </c>
      <c r="C18" s="2" t="inlineStr">
        <is>
          <t>Abel BOM</t>
        </is>
      </c>
    </row>
    <row r="19">
      <c r="A19" s="4" t="inlineStr">
        <is>
          <t>Subscriber radios — lodge/villa/spa/school/workshop cluster (excl. staff village)</t>
        </is>
      </c>
      <c r="B19" s="8" t="n">
        <v>15</v>
      </c>
      <c r="C19" s="2" t="inlineStr">
        <is>
          <t>Abel: 25 total, of which 10 are the staff village at 2.3–3 km</t>
        </is>
      </c>
    </row>
    <row r="20">
      <c r="A20" s="4" t="inlineStr">
        <is>
          <t>Subscriber radios — staff village (10 houses)</t>
        </is>
      </c>
      <c r="B20" s="9" t="n">
        <v>10</v>
      </c>
      <c r="C20" s="2" t="inlineStr">
        <is>
          <t>SWITCH: set to 3 if Abel confirms clustering on LAN</t>
        </is>
      </c>
    </row>
    <row r="21">
      <c r="A21" s="4" t="inlineStr">
        <is>
          <t>Staff-village LAN cable if clustered (metres, total)</t>
        </is>
      </c>
      <c r="B21" s="9" t="n">
        <v>0</v>
      </c>
      <c r="C21" s="2" t="inlineStr">
        <is>
          <t>SWITCH: only when staff radios &lt; 10. Abel to give run lengths.</t>
        </is>
      </c>
    </row>
    <row r="22">
      <c r="A22" s="4" t="inlineStr">
        <is>
          <t>Outdoor Wi-Fi 6 APs</t>
        </is>
      </c>
      <c r="B22" s="9" t="n">
        <v>4</v>
      </c>
      <c r="C22" s="2" t="inlineStr">
        <is>
          <t>SWITCH: Abel's BOM says 25; my challenge says ~4 (villa, main lodge, boma). Abel to confirm.</t>
        </is>
      </c>
    </row>
    <row r="23">
      <c r="A23" s="4" t="inlineStr">
        <is>
          <t>Indoor Wi-Fi 6 ceiling APs</t>
        </is>
      </c>
      <c r="B23" s="8" t="n">
        <v>22</v>
      </c>
      <c r="C23" s="2" t="inlineStr">
        <is>
          <t>Total APs = 26 (Abel: 25 + 1). Indoor = 26 − outdoor.</t>
        </is>
      </c>
    </row>
    <row r="24">
      <c r="A24" s="4" t="inlineStr">
        <is>
          <t>Managed 8-port PoE+ switches</t>
        </is>
      </c>
      <c r="B24" s="8" t="n">
        <v>2</v>
      </c>
      <c r="C24" s="2" t="inlineStr">
        <is>
          <t>Abel BOM</t>
        </is>
      </c>
    </row>
    <row r="25">
      <c r="A25" s="4" t="inlineStr">
        <is>
          <t>Unmanaged 6-port PoE switches</t>
        </is>
      </c>
      <c r="B25" s="8" t="n">
        <v>2</v>
      </c>
      <c r="C25" s="2" t="inlineStr">
        <is>
          <t>Abel BOM</t>
        </is>
      </c>
    </row>
    <row r="26">
      <c r="A26" s="4" t="inlineStr">
        <is>
          <t>4U wall boxes</t>
        </is>
      </c>
      <c r="B26" s="8" t="n">
        <v>4</v>
      </c>
      <c r="C26" s="2" t="inlineStr">
        <is>
          <t>Abel BOM</t>
        </is>
      </c>
    </row>
    <row r="27">
      <c r="A27" s="4" t="inlineStr">
        <is>
          <t>Mast height (enter 6 or 9)</t>
        </is>
      </c>
      <c r="B27" s="9" t="n">
        <v>6</v>
      </c>
      <c r="C27" s="2" t="inlineStr">
        <is>
          <t>SWITCH: Abel proposes 6m. 9m is the surveyed/safe height. Duane to confirm LOS at 6m.</t>
        </is>
      </c>
    </row>
    <row r="28">
      <c r="A28" s="4" t="inlineStr">
        <is>
          <t>Outdoor cable per subscriber site (m)</t>
        </is>
      </c>
      <c r="B28" s="8" t="n">
        <v>40</v>
      </c>
      <c r="C28" s="2" t="inlineStr">
        <is>
          <t>Gerhard: average 40m per site (the 25 Sep quote wrongly carried 40m TOTAL)</t>
        </is>
      </c>
    </row>
    <row r="29">
      <c r="A29" s="4" t="inlineStr">
        <is>
          <t>Installation days (2-technician team)</t>
        </is>
      </c>
      <c r="B29" s="8" t="n">
        <v>4</v>
      </c>
      <c r="C29" s="2" t="inlineStr">
        <is>
          <t>Gerhard, 29 Sep: 4 days for 25–28 radios (was 3)</t>
        </is>
      </c>
    </row>
    <row r="30">
      <c r="A30" s="4" t="inlineStr">
        <is>
          <t>Overnight stays (nights)</t>
        </is>
      </c>
      <c r="B30" s="8" t="n">
        <v>0</v>
      </c>
      <c r="C30" s="2" t="inlineStr">
        <is>
          <t>Assumed day trips (1h45 each way). Risk register carries the exposure.</t>
        </is>
      </c>
    </row>
    <row r="31">
      <c r="A31" s="4" t="inlineStr">
        <is>
          <t>Include extended warranties? (1 = yes, 0 = no)</t>
        </is>
      </c>
      <c r="B31" s="9" t="n">
        <v>0</v>
      </c>
      <c r="C31" s="2" t="inlineStr">
        <is>
          <t>Abel added 2-yr extensions; not priced on Duxnet V2. Recommend 0 (offer as option).</t>
        </is>
      </c>
    </row>
    <row r="32"/>
    <row r="33">
      <c r="A33" s="3" t="inlineStr">
        <is>
          <t>C. Unit costs (ex VAT)</t>
        </is>
      </c>
    </row>
    <row r="34">
      <c r="A34" s="4" t="inlineStr">
        <is>
          <t>ePMP 4500L 5GHz AP</t>
        </is>
      </c>
      <c r="B34" s="6" t="n">
        <v>8470</v>
      </c>
      <c r="C34" s="2" t="inlineStr">
        <is>
          <t>Duxnet DUX00455421 V2, 25 Sep — in stock</t>
        </is>
      </c>
    </row>
    <row r="35">
      <c r="A35" s="4" t="inlineStr">
        <is>
          <t>ePMP sector antenna 90/120°</t>
        </is>
      </c>
      <c r="B35" s="6" t="n">
        <v>3209</v>
      </c>
      <c r="C35" s="2" t="inlineStr">
        <is>
          <t>Duxnet V2 — in stock</t>
        </is>
      </c>
    </row>
    <row r="36">
      <c r="A36" s="4" t="inlineStr">
        <is>
          <t>ePMP Force 4525L SM 25dBi</t>
        </is>
      </c>
      <c r="B36" s="6" t="n">
        <v>2745</v>
      </c>
      <c r="C36" s="2" t="inlineStr">
        <is>
          <t>Duxnet V2 — Gerhard: in stock and secured (29 Sep)</t>
        </is>
      </c>
    </row>
    <row r="37">
      <c r="A37" s="4" t="inlineStr">
        <is>
          <t>DuxNet Wi-Fi 6 ceiling AP</t>
        </is>
      </c>
      <c r="B37" s="6" t="n">
        <v>1025</v>
      </c>
      <c r="C37" s="2" t="inlineStr">
        <is>
          <t>Duxnet V2</t>
        </is>
      </c>
    </row>
    <row r="38">
      <c r="A38" s="4" t="inlineStr">
        <is>
          <t>DuxNet outdoor Wi-Fi 6 AP</t>
        </is>
      </c>
      <c r="B38" s="6" t="n">
        <v>1885</v>
      </c>
      <c r="C38" s="2" t="inlineStr">
        <is>
          <t>Duxnet V2 — 84% more than indoor</t>
        </is>
      </c>
    </row>
    <row r="39">
      <c r="A39" s="4" t="inlineStr">
        <is>
          <t>DuxNet 8-port PoE+ L2 cloud switch</t>
        </is>
      </c>
      <c r="B39" s="6" t="n">
        <v>1899</v>
      </c>
      <c r="C39" s="2" t="inlineStr">
        <is>
          <t>Duxnet V2</t>
        </is>
      </c>
    </row>
    <row r="40">
      <c r="A40" s="4" t="inlineStr">
        <is>
          <t>Unmanaged 6-port PoE switch</t>
        </is>
      </c>
      <c r="B40" s="7" t="n">
        <v>650</v>
      </c>
      <c r="C40" s="2" t="inlineStr">
        <is>
          <t>TBC — Abel/Duxnet</t>
        </is>
      </c>
    </row>
    <row r="41">
      <c r="A41" s="4" t="inlineStr">
        <is>
          <t>4U wall box</t>
        </is>
      </c>
      <c r="B41" s="7" t="n">
        <v>600</v>
      </c>
      <c r="C41" s="2" t="inlineStr">
        <is>
          <t>TBC — Abel</t>
        </is>
      </c>
    </row>
    <row r="42">
      <c r="A42" s="4" t="inlineStr">
        <is>
          <t>Ext. warranty 2 yrs — 4500L (each)</t>
        </is>
      </c>
      <c r="B42" s="7" t="n">
        <v>0</v>
      </c>
      <c r="C42" s="2" t="inlineStr">
        <is>
          <t>TBC — not on Duxnet V2</t>
        </is>
      </c>
    </row>
    <row r="43">
      <c r="A43" s="4" t="inlineStr">
        <is>
          <t>Ext. warranty 2 yrs — 4525L (each)</t>
        </is>
      </c>
      <c r="B43" s="7" t="n">
        <v>0</v>
      </c>
      <c r="C43" s="2" t="inlineStr">
        <is>
          <t>TBC — not on Duxnet V2</t>
        </is>
      </c>
    </row>
    <row r="44">
      <c r="A44" s="4" t="inlineStr">
        <is>
          <t>Solar kit: 2×660W Aiko, Victron MPPT 150/35, 5.32kWh LFP, Solis 5kW off-grid, DB components</t>
        </is>
      </c>
      <c r="B44" s="6" t="n">
        <v>25950.82</v>
      </c>
      <c r="C44" s="2" t="inlineStr">
        <is>
          <t>Herholdt's PLZ-Q488632, 29 Sep — valid 7 days, cash</t>
        </is>
      </c>
    </row>
    <row r="45">
      <c r="A45" s="4" t="inlineStr">
        <is>
          <t>Outdoor cabinet, bare (CTTX stock)</t>
        </is>
      </c>
      <c r="B45" s="6" t="n">
        <v>8000</v>
      </c>
      <c r="C45" s="2" t="inlineStr">
        <is>
          <t>Gerhard, 29 Sep: floor R8,000 - confirmed</t>
        </is>
      </c>
    </row>
    <row r="46">
      <c r="A46" s="4" t="inlineStr">
        <is>
          <t>6m mast with plinth, installed (CTTX stock)</t>
        </is>
      </c>
      <c r="B46" s="6" t="n">
        <v>22000</v>
      </c>
      <c r="C46" s="2" t="inlineStr">
        <is>
          <t>Gerhard, 29 Sep: floor R22,000 - confirmed</t>
        </is>
      </c>
    </row>
    <row r="47">
      <c r="A47" s="4" t="inlineStr">
        <is>
          <t>9m mast with plinth, installed (CTTX refurbished stock)</t>
        </is>
      </c>
      <c r="B47" s="6" t="n">
        <v>38700</v>
      </c>
      <c r="C47" s="2" t="inlineStr">
        <is>
          <t>Gerhard, 25 Sep</t>
        </is>
      </c>
    </row>
    <row r="48">
      <c r="A48" s="4" t="inlineStr">
        <is>
          <t>Radio bracket</t>
        </is>
      </c>
      <c r="B48" s="6" t="n">
        <v>450</v>
      </c>
      <c r="C48" s="2" t="inlineStr">
        <is>
          <t>Gerhard, 25 Sep</t>
        </is>
      </c>
    </row>
    <row r="49">
      <c r="A49" s="4" t="inlineStr">
        <is>
          <t>Outdoor cable per metre</t>
        </is>
      </c>
      <c r="B49" s="6" t="n">
        <v>12</v>
      </c>
      <c r="C49" s="2" t="inlineStr">
        <is>
          <t>Gerhard, 25 Sep (rate card says R28–45/m for armoured — risk)</t>
        </is>
      </c>
    </row>
    <row r="50">
      <c r="A50" s="4" t="inlineStr">
        <is>
          <t>LAN cable + trenching per metre (staff-village clustering)</t>
        </is>
      </c>
      <c r="B50" s="7" t="n">
        <v>0</v>
      </c>
      <c r="C50" s="2" t="inlineStr">
        <is>
          <t>TBC — only if clustering is chosen</t>
        </is>
      </c>
    </row>
    <row r="51">
      <c r="A51" s="4" t="inlineStr">
        <is>
          <t>Labour: survey &amp; design (day)</t>
        </is>
      </c>
      <c r="B51" s="6" t="n">
        <v>4500</v>
      </c>
      <c r="C51" s="2" t="inlineStr">
        <is>
          <t>CTTX rate card</t>
        </is>
      </c>
    </row>
    <row r="52">
      <c r="A52" s="4" t="inlineStr">
        <is>
          <t>Labour: installation, 2-tech team (day)</t>
        </is>
      </c>
      <c r="B52" s="6" t="n">
        <v>9000</v>
      </c>
      <c r="C52" s="2" t="inlineStr">
        <is>
          <t>CTTX rate card</t>
        </is>
      </c>
    </row>
    <row r="53">
      <c r="A53" s="4" t="inlineStr">
        <is>
          <t>Labour: commissioning &amp; testing (day)</t>
        </is>
      </c>
      <c r="B53" s="6" t="n">
        <v>4500</v>
      </c>
      <c r="C53" s="2" t="inlineStr">
        <is>
          <t>CTTX rate card</t>
        </is>
      </c>
    </row>
    <row r="54">
      <c r="A54" s="4" t="inlineStr">
        <is>
          <t>Labour: documentation &amp; handover (half day)</t>
        </is>
      </c>
      <c r="B54" s="6" t="n">
        <v>2250</v>
      </c>
      <c r="C54" s="2" t="inlineStr">
        <is>
          <t>CTTX rate card</t>
        </is>
      </c>
    </row>
    <row r="55">
      <c r="A55" s="4" t="inlineStr">
        <is>
          <t>Overnight stay, 2 techs (per night)</t>
        </is>
      </c>
      <c r="B55" s="7" t="n">
        <v>1800</v>
      </c>
      <c r="C55" s="2" t="inlineStr">
        <is>
          <t>Estimate — no rate on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4" customWidth="1" min="3" max="3"/>
    <col width="16" customWidth="1" min="4" max="4"/>
    <col width="12" customWidth="1" min="5" max="5"/>
    <col width="40" customWidth="1" min="6" max="6"/>
  </cols>
  <sheetData>
    <row r="1">
      <c r="A1" s="1" t="inlineStr">
        <is>
          <t>Cost build-up at the current scenario</t>
        </is>
      </c>
    </row>
    <row r="2">
      <c r="A2" s="2" t="inlineStr">
        <is>
          <t>All formulas read from '1. Inputs'. Change a switch there and this recalculates.</t>
        </is>
      </c>
    </row>
    <row r="4">
      <c r="A4" s="10" t="inlineStr">
        <is>
          <t>Line item</t>
        </is>
      </c>
      <c r="B4" s="10" t="inlineStr">
        <is>
          <t>Qty</t>
        </is>
      </c>
      <c r="C4" s="10" t="inlineStr">
        <is>
          <t>Unit cost</t>
        </is>
      </c>
      <c r="D4" s="10" t="inlineStr">
        <is>
          <t>Line cost</t>
        </is>
      </c>
      <c r="E4" s="10" t="inlineStr">
        <is>
          <t>TBC?</t>
        </is>
      </c>
      <c r="F4" s="10" t="inlineStr">
        <is>
          <t>Source / note</t>
        </is>
      </c>
    </row>
    <row r="5">
      <c r="A5" s="11" t="inlineStr">
        <is>
          <t>1. Backbone (mast, sectors, base radios)</t>
        </is>
      </c>
    </row>
    <row r="6">
      <c r="A6" s="4" t="inlineStr">
        <is>
          <t>ePMP 4500L base station radio</t>
        </is>
      </c>
      <c r="B6" s="12">
        <f>'1. Inputs'!$B$17</f>
        <v/>
      </c>
      <c r="C6" s="13">
        <f>'1. Inputs'!$B$34</f>
        <v/>
      </c>
      <c r="D6" s="13">
        <f>B6*C6</f>
        <v/>
      </c>
      <c r="E6" s="14" t="inlineStr"/>
      <c r="F6" s="15" t="inlineStr"/>
    </row>
    <row r="7">
      <c r="A7" s="4" t="inlineStr">
        <is>
          <t>Sector antenna 90/120°</t>
        </is>
      </c>
      <c r="B7" s="12">
        <f>'1. Inputs'!$B$18</f>
        <v/>
      </c>
      <c r="C7" s="13">
        <f>'1. Inputs'!$B$35</f>
        <v/>
      </c>
      <c r="D7" s="13">
        <f>B7*C7</f>
        <v/>
      </c>
      <c r="E7" s="14" t="inlineStr"/>
      <c r="F7" s="15" t="inlineStr"/>
    </row>
    <row r="8">
      <c r="A8" s="4" t="inlineStr">
        <is>
          <t>Mast with plinth, installed (6m or 9m per switch)</t>
        </is>
      </c>
      <c r="B8" s="16" t="n">
        <v>1</v>
      </c>
      <c r="C8" s="17">
        <f>IF('1. Inputs'!$B$27=9,'1. Inputs'!$B$47,'1. Inputs'!$B$46)</f>
        <v/>
      </c>
      <c r="D8" s="13">
        <f>B8*C8</f>
        <v/>
      </c>
      <c r="E8" s="14" t="inlineStr">
        <is>
          <t>TBC</t>
        </is>
      </c>
      <c r="F8" s="18" t="inlineStr">
        <is>
          <t>6m cost is an estimate; LOS at 6m unconfirmed</t>
        </is>
      </c>
    </row>
    <row r="9">
      <c r="A9" s="4" t="inlineStr">
        <is>
          <t>Ext. warranty — 4500L</t>
        </is>
      </c>
      <c r="B9" s="16">
        <f>'1. Inputs'!$B$31*'1. Inputs'!$B$17</f>
        <v/>
      </c>
      <c r="C9" s="17">
        <f>'1. Inputs'!$B$42</f>
        <v/>
      </c>
      <c r="D9" s="13">
        <f>B9*C9</f>
        <v/>
      </c>
      <c r="E9" s="14" t="inlineStr">
        <is>
          <t>TBC</t>
        </is>
      </c>
      <c r="F9" s="15" t="inlineStr"/>
    </row>
    <row r="10">
      <c r="A10" s="3" t="inlineStr">
        <is>
          <t>Backbone subtotal</t>
        </is>
      </c>
      <c r="D10" s="19">
        <f>SUM(D6:D9)</f>
        <v/>
      </c>
    </row>
    <row r="12">
      <c r="A12" s="11" t="inlineStr">
        <is>
          <t>2. Distribution (subscriber radios to buildings)</t>
        </is>
      </c>
    </row>
    <row r="13">
      <c r="A13" s="4" t="inlineStr">
        <is>
          <t>Force 4525L subscriber radio — main cluster</t>
        </is>
      </c>
      <c r="B13" s="12">
        <f>'1. Inputs'!$B$19</f>
        <v/>
      </c>
      <c r="C13" s="13">
        <f>'1. Inputs'!$B$36</f>
        <v/>
      </c>
      <c r="D13" s="13">
        <f>B13*C13</f>
        <v/>
      </c>
      <c r="E13" s="14" t="inlineStr"/>
      <c r="F13" s="15" t="inlineStr"/>
    </row>
    <row r="14">
      <c r="A14" s="4" t="inlineStr">
        <is>
          <t>Force 4525L subscriber radio — staff village</t>
        </is>
      </c>
      <c r="B14" s="16">
        <f>'1. Inputs'!$B$20</f>
        <v/>
      </c>
      <c r="C14" s="17">
        <f>'1. Inputs'!$B$36</f>
        <v/>
      </c>
      <c r="D14" s="13">
        <f>B14*C14</f>
        <v/>
      </c>
      <c r="E14" s="14" t="inlineStr">
        <is>
          <t>TBC</t>
        </is>
      </c>
      <c r="F14" s="20" t="inlineStr">
        <is>
          <t>10 today; 3 if clustered on LAN</t>
        </is>
      </c>
    </row>
    <row r="15">
      <c r="A15" s="4" t="inlineStr">
        <is>
          <t>Radio brackets</t>
        </is>
      </c>
      <c r="B15" s="12">
        <f>'1. Inputs'!$B$19+'1. Inputs'!$B$20</f>
        <v/>
      </c>
      <c r="C15" s="13">
        <f>'1. Inputs'!$B$48</f>
        <v/>
      </c>
      <c r="D15" s="13">
        <f>B15*C15</f>
        <v/>
      </c>
      <c r="E15" s="14" t="inlineStr"/>
      <c r="F15" s="15" t="inlineStr"/>
    </row>
    <row r="16">
      <c r="A16" s="4" t="inlineStr">
        <is>
          <t>Outdoor cable (per-site average × sites)</t>
        </is>
      </c>
      <c r="B16" s="12">
        <f>('1. Inputs'!$B$19+'1. Inputs'!$B$20)*'1. Inputs'!$B$28</f>
        <v/>
      </c>
      <c r="C16" s="13">
        <f>'1. Inputs'!$B$49</f>
        <v/>
      </c>
      <c r="D16" s="13">
        <f>B16*C16</f>
        <v/>
      </c>
      <c r="E16" s="14" t="inlineStr"/>
      <c r="F16" s="21" t="inlineStr">
        <is>
          <t>R12/m is below rate card for armoured cable — see risk</t>
        </is>
      </c>
    </row>
    <row r="17">
      <c r="A17" s="4" t="inlineStr">
        <is>
          <t>Staff-village LAN cable + trenching (only if clustered)</t>
        </is>
      </c>
      <c r="B17" s="16">
        <f>'1. Inputs'!$B$21</f>
        <v/>
      </c>
      <c r="C17" s="17">
        <f>'1. Inputs'!$B$50</f>
        <v/>
      </c>
      <c r="D17" s="13">
        <f>B17*C17</f>
        <v/>
      </c>
      <c r="E17" s="14" t="inlineStr">
        <is>
          <t>TBC</t>
        </is>
      </c>
      <c r="F17" s="15" t="inlineStr"/>
    </row>
    <row r="18">
      <c r="A18" s="4" t="inlineStr">
        <is>
          <t>Ext. warranty — 4525L</t>
        </is>
      </c>
      <c r="B18" s="16">
        <f>'1. Inputs'!$B$31*('1. Inputs'!$B$19+'1. Inputs'!$B$20)</f>
        <v/>
      </c>
      <c r="C18" s="17">
        <f>'1. Inputs'!$B$43</f>
        <v/>
      </c>
      <c r="D18" s="13">
        <f>B18*C18</f>
        <v/>
      </c>
      <c r="E18" s="14" t="inlineStr">
        <is>
          <t>TBC</t>
        </is>
      </c>
      <c r="F18" s="15" t="inlineStr"/>
    </row>
    <row r="19">
      <c r="A19" s="3" t="inlineStr">
        <is>
          <t>Distribution subtotal</t>
        </is>
      </c>
      <c r="D19" s="19">
        <f>SUM(D13:D18)</f>
        <v/>
      </c>
    </row>
    <row r="21">
      <c r="A21" s="11" t="inlineStr">
        <is>
          <t>3. Wi-Fi &amp; switching</t>
        </is>
      </c>
    </row>
    <row r="22">
      <c r="A22" s="4" t="inlineStr">
        <is>
          <t>Indoor Wi-Fi 6 ceiling AP</t>
        </is>
      </c>
      <c r="B22" s="12">
        <f>'1. Inputs'!$B$23</f>
        <v/>
      </c>
      <c r="C22" s="13">
        <f>'1. Inputs'!$B$37</f>
        <v/>
      </c>
      <c r="D22" s="13">
        <f>B22*C22</f>
        <v/>
      </c>
      <c r="E22" s="14" t="inlineStr"/>
      <c r="F22" s="15" t="inlineStr"/>
    </row>
    <row r="23">
      <c r="A23" s="4" t="inlineStr">
        <is>
          <t>Outdoor Wi-Fi 6 AP</t>
        </is>
      </c>
      <c r="B23" s="16">
        <f>'1. Inputs'!$B$22</f>
        <v/>
      </c>
      <c r="C23" s="17">
        <f>'1. Inputs'!$B$38</f>
        <v/>
      </c>
      <c r="D23" s="13">
        <f>B23*C23</f>
        <v/>
      </c>
      <c r="E23" s="14" t="inlineStr">
        <is>
          <t>TBC</t>
        </is>
      </c>
      <c r="F23" s="22" t="inlineStr">
        <is>
          <t>Abel's BOM has 25 outdoor; challenge says ~4</t>
        </is>
      </c>
    </row>
    <row r="24">
      <c r="A24" s="4" t="inlineStr">
        <is>
          <t>Managed 8-port PoE+ switch</t>
        </is>
      </c>
      <c r="B24" s="12">
        <f>'1. Inputs'!$B$24</f>
        <v/>
      </c>
      <c r="C24" s="13">
        <f>'1. Inputs'!$B$39</f>
        <v/>
      </c>
      <c r="D24" s="13">
        <f>B24*C24</f>
        <v/>
      </c>
      <c r="E24" s="14" t="inlineStr"/>
      <c r="F24" s="15" t="inlineStr"/>
    </row>
    <row r="25">
      <c r="A25" s="4" t="inlineStr">
        <is>
          <t>Unmanaged 6-port PoE switch</t>
        </is>
      </c>
      <c r="B25" s="16">
        <f>'1. Inputs'!$B$25</f>
        <v/>
      </c>
      <c r="C25" s="17">
        <f>'1. Inputs'!$B$40</f>
        <v/>
      </c>
      <c r="D25" s="13">
        <f>B25*C25</f>
        <v/>
      </c>
      <c r="E25" s="14" t="inlineStr">
        <is>
          <t>TBC</t>
        </is>
      </c>
      <c r="F25" s="15" t="inlineStr"/>
    </row>
    <row r="26">
      <c r="A26" s="4" t="inlineStr">
        <is>
          <t>4U wall box</t>
        </is>
      </c>
      <c r="B26" s="16">
        <f>'1. Inputs'!$B$26</f>
        <v/>
      </c>
      <c r="C26" s="17">
        <f>'1. Inputs'!$B$41</f>
        <v/>
      </c>
      <c r="D26" s="13">
        <f>B26*C26</f>
        <v/>
      </c>
      <c r="E26" s="14" t="inlineStr">
        <is>
          <t>TBC</t>
        </is>
      </c>
      <c r="F26" s="15" t="inlineStr"/>
    </row>
    <row r="27">
      <c r="A27" s="3" t="inlineStr">
        <is>
          <t>Wi-Fi &amp; switching subtotal</t>
        </is>
      </c>
      <c r="D27" s="19">
        <f>SUM(D22:D26)</f>
        <v/>
      </c>
    </row>
    <row r="29">
      <c r="A29" s="11" t="inlineStr">
        <is>
          <t>4. Power</t>
        </is>
      </c>
    </row>
    <row r="30">
      <c r="A30" s="4" t="inlineStr">
        <is>
          <t>Solar kit (Herholdt's Q488632)</t>
        </is>
      </c>
      <c r="B30" s="12" t="n">
        <v>1</v>
      </c>
      <c r="C30" s="13">
        <f>'1. Inputs'!$B$44</f>
        <v/>
      </c>
      <c r="D30" s="13">
        <f>B30*C30</f>
        <v/>
      </c>
      <c r="E30" s="14" t="inlineStr"/>
      <c r="F30" s="23" t="inlineStr">
        <is>
          <t>Quote valid to 6 Oct; cash terms</t>
        </is>
      </c>
    </row>
    <row r="31">
      <c r="A31" s="4" t="inlineStr">
        <is>
          <t>Outdoor cabinet, bare</t>
        </is>
      </c>
      <c r="B31" s="16" t="n">
        <v>1</v>
      </c>
      <c r="C31" s="17">
        <f>'1. Inputs'!$B$45</f>
        <v/>
      </c>
      <c r="D31" s="13">
        <f>B31*C31</f>
        <v/>
      </c>
      <c r="E31" s="14" t="inlineStr">
        <is>
          <t>TBC</t>
        </is>
      </c>
      <c r="F31" s="15" t="inlineStr"/>
    </row>
    <row r="32">
      <c r="A32" s="3" t="inlineStr">
        <is>
          <t>Power subtotal</t>
        </is>
      </c>
      <c r="D32" s="19">
        <f>SUM(D30:D31)</f>
        <v/>
      </c>
    </row>
    <row r="34">
      <c r="A34" s="11" t="inlineStr">
        <is>
          <t>5. Labour &amp; travel</t>
        </is>
      </c>
    </row>
    <row r="35">
      <c r="A35" s="4" t="inlineStr">
        <is>
          <t>Survey &amp; design</t>
        </is>
      </c>
      <c r="B35" s="12" t="n">
        <v>1</v>
      </c>
      <c r="C35" s="13">
        <f>'1. Inputs'!$B$51</f>
        <v/>
      </c>
      <c r="D35" s="13">
        <f>B35*C35</f>
        <v/>
      </c>
      <c r="E35" s="14" t="inlineStr"/>
      <c r="F35" s="15" t="inlineStr"/>
    </row>
    <row r="36">
      <c r="A36" s="4" t="inlineStr">
        <is>
          <t>Installation — 2-technician team (days)</t>
        </is>
      </c>
      <c r="B36" s="12">
        <f>'1. Inputs'!$B$29</f>
        <v/>
      </c>
      <c r="C36" s="13">
        <f>'1. Inputs'!$B$52</f>
        <v/>
      </c>
      <c r="D36" s="13">
        <f>B36*C36</f>
        <v/>
      </c>
      <c r="E36" s="14" t="inlineStr"/>
      <c r="F36" s="15" t="inlineStr"/>
    </row>
    <row r="37">
      <c r="A37" s="4" t="inlineStr">
        <is>
          <t>Commissioning &amp; testing</t>
        </is>
      </c>
      <c r="B37" s="12" t="n">
        <v>1</v>
      </c>
      <c r="C37" s="13">
        <f>'1. Inputs'!$B$53</f>
        <v/>
      </c>
      <c r="D37" s="13">
        <f>B37*C37</f>
        <v/>
      </c>
      <c r="E37" s="14" t="inlineStr"/>
      <c r="F37" s="15" t="inlineStr"/>
    </row>
    <row r="38">
      <c r="A38" s="4" t="inlineStr">
        <is>
          <t>Documentation &amp; handover</t>
        </is>
      </c>
      <c r="B38" s="12" t="n">
        <v>1</v>
      </c>
      <c r="C38" s="13">
        <f>'1. Inputs'!$B$54</f>
        <v/>
      </c>
      <c r="D38" s="13">
        <f>B38*C38</f>
        <v/>
      </c>
      <c r="E38" s="14" t="inlineStr"/>
      <c r="F38" s="15" t="inlineStr"/>
    </row>
    <row r="39">
      <c r="A39" s="4" t="inlineStr">
        <is>
          <t>Overnight stays</t>
        </is>
      </c>
      <c r="B39" s="16">
        <f>'1. Inputs'!$B$30</f>
        <v/>
      </c>
      <c r="C39" s="17">
        <f>'1. Inputs'!$B$55</f>
        <v/>
      </c>
      <c r="D39" s="13">
        <f>B39*C39</f>
        <v/>
      </c>
      <c r="E39" s="14" t="inlineStr">
        <is>
          <t>TBC</t>
        </is>
      </c>
      <c r="F39" s="15" t="inlineStr"/>
    </row>
    <row r="40">
      <c r="A40" s="3" t="inlineStr">
        <is>
          <t>Labour &amp; travel subtotal</t>
        </is>
      </c>
      <c r="D40" s="19">
        <f>SUM(D35:D39)</f>
        <v/>
      </c>
    </row>
    <row r="42">
      <c r="A42" s="24" t="inlineStr">
        <is>
          <t>TOTAL BUILD COST (ex VAT)</t>
        </is>
      </c>
      <c r="D42" s="25">
        <f>SUM(D10,D19,D27,D32,D40)</f>
        <v/>
      </c>
    </row>
    <row r="43">
      <c r="A43" s="2" t="inlineStr">
        <is>
          <t xml:space="preserve">  of which TBC lines (estimates)</t>
        </is>
      </c>
      <c r="D43" s="26">
        <f>SUMIF(E5:E41,"TBC",D5:D41)</f>
        <v/>
      </c>
    </row>
    <row r="45">
      <c r="A45" s="3" t="inlineStr">
        <is>
          <t>Sell price to client (ex VAT)</t>
        </is>
      </c>
      <c r="D45" s="27">
        <f>'1. Inputs'!$B$6/(1+'1. Inputs'!$B$5)</f>
        <v/>
      </c>
    </row>
    <row r="46">
      <c r="A46" s="4" t="inlineStr">
        <is>
          <t>Sell price to client (incl VAT)</t>
        </is>
      </c>
      <c r="D46" s="13">
        <f>'1. Inputs'!$B$6</f>
        <v/>
      </c>
    </row>
    <row r="47">
      <c r="A47" s="24" t="inlineStr">
        <is>
          <t>GROSS PROFIT on the build (ex VAT)</t>
        </is>
      </c>
      <c r="D47" s="28">
        <f>'2. Cost Build-up'!$D$45-'2. Cost Build-up'!$D$42</f>
        <v/>
      </c>
    </row>
    <row r="48">
      <c r="A48" s="3" t="inlineStr">
        <is>
          <t>GP %</t>
        </is>
      </c>
      <c r="D48" s="29">
        <f>'2. Cost Build-up'!$D$47/'2. Cost Build-up'!$D$45</f>
        <v/>
      </c>
    </row>
    <row r="50">
      <c r="A50" s="2" t="inlineStr">
        <is>
          <t>Comparison: 25 Sep quote cost R264,084 → sold at R308,695.65 ex (R355,000 incl) → GP R44,611.65 (14.5%).</t>
        </is>
      </c>
    </row>
    <row r="51">
      <c r="A51" s="2" t="inlineStr">
        <is>
          <t>Recurring margin (not in the build GP): Vodacom markup + retainer, see '4. Client ROI'.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6" customWidth="1" min="3" max="3"/>
    <col width="16" customWidth="1" min="4" max="4"/>
    <col width="16" customWidth="1" min="5" max="5"/>
    <col width="44" customWidth="1" min="6" max="6"/>
    <col width="4" customWidth="1" min="7" max="7"/>
  </cols>
  <sheetData>
    <row r="1">
      <c r="A1" s="1" t="inlineStr">
        <is>
          <t>What is our risk at this price? — every open item as rand exposure against the GP</t>
        </is>
      </c>
    </row>
    <row r="2">
      <c r="A2" s="2" t="inlineStr">
        <is>
          <t>Probability = input (yellow). Exposure is calculated from the Inputs. Expected = probability × exposure. Worst case = everything hits at once.</t>
        </is>
      </c>
    </row>
    <row r="4">
      <c r="A4" s="10" t="inlineStr">
        <is>
          <t>Risk</t>
        </is>
      </c>
      <c r="B4" s="10" t="inlineStr">
        <is>
          <t>Probability</t>
        </is>
      </c>
      <c r="C4" s="10" t="inlineStr">
        <is>
          <t>Exposure (ex VAT)</t>
        </is>
      </c>
      <c r="D4" s="10" t="inlineStr">
        <is>
          <t>Expected cost</t>
        </is>
      </c>
      <c r="E4" s="10" t="inlineStr">
        <is>
          <t>Mitigation / who closes it</t>
        </is>
      </c>
      <c r="F4" s="10" t="inlineStr">
        <is>
          <t>Status</t>
        </is>
      </c>
      <c r="G4" s="10" t="inlineStr"/>
    </row>
    <row r="5">
      <c r="A5" s="4" t="inlineStr">
        <is>
          <t>Mast: 6m has no usable LOS → build 9m. Gerhard stood at the mast position 29 Sep and saw clear LOS to Olifants Nek at ground level; Vodacom's own confirmation at 6m and Abel's 3 km staff-village LOS remain.</t>
        </is>
      </c>
      <c r="B5" s="30" t="n">
        <v>0.15</v>
      </c>
      <c r="C5" s="13">
        <f>'1. Inputs'!$B$47-IF('1. Inputs'!$B$27=9,'1. Inputs'!$B$47,'1. Inputs'!$B$46)</f>
        <v/>
      </c>
      <c r="D5" s="13">
        <f>B5*C5</f>
        <v/>
      </c>
      <c r="E5" s="2" t="inlineStr">
        <is>
          <t>Vodacom desktop confirmation (Duane, asked 29 Sep); Abel: staff village LOS at 6m</t>
        </is>
      </c>
      <c r="F5" s="14" t="inlineStr">
        <is>
          <t>REDUCED</t>
        </is>
      </c>
    </row>
    <row r="6">
      <c r="A6" s="4" t="inlineStr">
        <is>
          <t>6m mast cost - CONFIRMED R22,000 (Gerhard 29 Sep)</t>
        </is>
      </c>
      <c r="B6" s="30" t="n">
        <v>0</v>
      </c>
      <c r="C6" s="13">
        <f>5000</f>
        <v/>
      </c>
      <c r="D6" s="13">
        <f>B6*C6</f>
        <v/>
      </c>
      <c r="E6" s="2" t="inlineStr">
        <is>
          <t>Gerhard prices from stock</t>
        </is>
      </c>
      <c r="F6" s="14" t="inlineStr">
        <is>
          <t>CLOSED</t>
        </is>
      </c>
    </row>
    <row r="7">
      <c r="A7" s="4" t="inlineStr">
        <is>
          <t>Bare cabinet cost - CONFIRMED R8,000 (Gerhard 29 Sep)</t>
        </is>
      </c>
      <c r="B7" s="30" t="n">
        <v>0</v>
      </c>
      <c r="C7" s="13">
        <f>4000</f>
        <v/>
      </c>
      <c r="D7" s="13">
        <f>B7*C7</f>
        <v/>
      </c>
      <c r="E7" s="2" t="inlineStr">
        <is>
          <t>Gerhard prices from stock</t>
        </is>
      </c>
      <c r="F7" s="14" t="inlineStr">
        <is>
          <t>CLOSED</t>
        </is>
      </c>
    </row>
    <row r="8">
      <c r="A8" s="4" t="inlineStr">
        <is>
          <t>Outdoor APs: Abel insists on 25 outdoor, not 4</t>
        </is>
      </c>
      <c r="B8" s="30" t="n">
        <v>0.35</v>
      </c>
      <c r="C8" s="13">
        <f>(25-'1. Inputs'!$B$22)*('1. Inputs'!$B$38-'1. Inputs'!$B$37)</f>
        <v/>
      </c>
      <c r="D8" s="13">
        <f>B8*C8</f>
        <v/>
      </c>
      <c r="E8" s="2" t="inlineStr">
        <is>
          <t>Abel confirms which buildings need outdoor units</t>
        </is>
      </c>
      <c r="F8" s="14" t="inlineStr">
        <is>
          <t>OPEN</t>
        </is>
      </c>
    </row>
    <row r="9">
      <c r="A9" s="4" t="inlineStr">
        <is>
          <t>Staff-village clustering NOT feasible (stay at 10 radios) — only if the scenario assumes 3</t>
        </is>
      </c>
      <c r="B9" s="30" t="n">
        <v>0.5</v>
      </c>
      <c r="C9" s="13">
        <f>IF('1. Inputs'!$B$20&lt;10,(10-'1. Inputs'!$B$20)*('1. Inputs'!$B$36+'1. Inputs'!$B$48),0)</f>
        <v/>
      </c>
      <c r="D9" s="13">
        <f>B9*C9</f>
        <v/>
      </c>
      <c r="E9" s="2" t="inlineStr">
        <is>
          <t>Abel: house spacing, trenching</t>
        </is>
      </c>
      <c r="F9" s="14" t="inlineStr">
        <is>
          <t>OPEN</t>
        </is>
      </c>
    </row>
    <row r="10">
      <c r="A10" s="4" t="inlineStr">
        <is>
          <t>Cable: armoured grade required (R30/m vs R12/m)</t>
        </is>
      </c>
      <c r="B10" s="30" t="n">
        <v>0.4</v>
      </c>
      <c r="C10" s="13">
        <f>('1. Inputs'!$B$19+'1. Inputs'!$B$20)*'1. Inputs'!$B$28*(30-'1. Inputs'!$B$49)</f>
        <v/>
      </c>
      <c r="D10" s="13">
        <f>B10*C10</f>
        <v/>
      </c>
      <c r="E10" s="2" t="inlineStr">
        <is>
          <t>Abel confirms grade at survey; rate card says R28–45/m</t>
        </is>
      </c>
      <c r="F10" s="14" t="inlineStr">
        <is>
          <t>OPEN</t>
        </is>
      </c>
    </row>
    <row r="11">
      <c r="A11" s="4" t="inlineStr">
        <is>
          <t>Installation overruns by 1 day beyond the planned 4</t>
        </is>
      </c>
      <c r="B11" s="30" t="n">
        <v>0.25</v>
      </c>
      <c r="C11" s="13">
        <f>1*'1. Inputs'!$B$52</f>
        <v/>
      </c>
      <c r="D11" s="13">
        <f>B11*C11</f>
        <v/>
      </c>
      <c r="E11" s="2" t="inlineStr">
        <is>
          <t>Plan 4 days; or accept as GP erosion</t>
        </is>
      </c>
      <c r="F11" s="14" t="inlineStr">
        <is>
          <t>REDUCED</t>
        </is>
      </c>
    </row>
    <row r="12">
      <c r="A12" s="4" t="inlineStr">
        <is>
          <t>Overnight stays needed (3 nights, 2 techs)</t>
        </is>
      </c>
      <c r="B12" s="30" t="n">
        <v>0.4</v>
      </c>
      <c r="C12" s="13">
        <f>3*'1. Inputs'!$B$55</f>
        <v/>
      </c>
      <c r="D12" s="13">
        <f>B12*C12</f>
        <v/>
      </c>
      <c r="E12" s="2" t="inlineStr">
        <is>
          <t>Confirm with Abel; day trips are 3h30 round trip</t>
        </is>
      </c>
      <c r="F12" s="14" t="inlineStr">
        <is>
          <t>OPEN</t>
        </is>
      </c>
    </row>
    <row r="13">
      <c r="A13" s="4" t="inlineStr">
        <is>
          <t>Extended warranties expected by client at no extra charge</t>
        </is>
      </c>
      <c r="B13" s="30" t="n">
        <v>0.2</v>
      </c>
      <c r="C13" s="13">
        <f>2*'1. Inputs'!$B$42+('1. Inputs'!$B$19+'1. Inputs'!$B$20)*'1. Inputs'!$B$43</f>
        <v/>
      </c>
      <c r="D13" s="13">
        <f>B13*C13</f>
        <v/>
      </c>
      <c r="E13" s="2" t="inlineStr">
        <is>
          <t>Price them; offer as option — currently R0 as TBC</t>
        </is>
      </c>
      <c r="F13" s="14" t="inlineStr">
        <is>
          <t>OPEN</t>
        </is>
      </c>
    </row>
    <row r="14">
      <c r="A14" s="4" t="inlineStr">
        <is>
          <t>Unmanaged switches / wall boxes cost more than estimated</t>
        </is>
      </c>
      <c r="B14" s="30" t="n">
        <v>0.4</v>
      </c>
      <c r="C14" s="13">
        <f>1500</f>
        <v/>
      </c>
      <c r="D14" s="13">
        <f>B14*C14</f>
        <v/>
      </c>
      <c r="E14" s="2" t="inlineStr">
        <is>
          <t>Abel prices from Duxnet/Pinnacle</t>
        </is>
      </c>
      <c r="F14" s="14" t="inlineStr">
        <is>
          <t>OPEN</t>
        </is>
      </c>
    </row>
    <row r="15">
      <c r="A15" s="4" t="inlineStr">
        <is>
          <t>Herholdt's quote lapses (7 days) and re-prices up 10%</t>
        </is>
      </c>
      <c r="B15" s="30" t="n">
        <v>0.3</v>
      </c>
      <c r="C15" s="13">
        <f>0.10*'1. Inputs'!$B$44</f>
        <v/>
      </c>
      <c r="D15" s="13">
        <f>B15*C15</f>
        <v/>
      </c>
      <c r="E15" s="2" t="inlineStr">
        <is>
          <t>Order on deposit receipt; or re-quote</t>
        </is>
      </c>
      <c r="F15" s="14" t="inlineStr">
        <is>
          <t>OPEN</t>
        </is>
      </c>
    </row>
    <row r="16">
      <c r="A16" s="4" t="inlineStr">
        <is>
          <t>Duxnet price change on exchange rate before order (5%)</t>
        </is>
      </c>
      <c r="B16" s="30" t="n">
        <v>0.3</v>
      </c>
      <c r="C16" s="13">
        <f>0.05*('1. Inputs'!$B$17*'1. Inputs'!$B$34+'1. Inputs'!$B$18*'1. Inputs'!$B$35+('1. Inputs'!$B$19+'1. Inputs'!$B$20)*'1. Inputs'!$B$36+'1. Inputs'!$B$23*'1. Inputs'!$B$37+'1. Inputs'!$B$22*'1. Inputs'!$B$38+'1. Inputs'!$B$24*'1. Inputs'!$B$39)</f>
        <v/>
      </c>
      <c r="D16" s="13">
        <f>B16*C16</f>
        <v/>
      </c>
      <c r="E16" s="2" t="inlineStr">
        <is>
          <t>Duxnet: 'prices valid only for in-stock items, subject to exchange rate'. Order promptly.</t>
        </is>
      </c>
      <c r="F16" s="14" t="inlineStr">
        <is>
          <t>OPEN</t>
        </is>
      </c>
    </row>
    <row r="17">
      <c r="A17" s="4" t="inlineStr">
        <is>
          <t>Vodacom 3rd-party surcharge at Olifants Nek — CTTX absorbs it for the 36-month term rather than re-open the price</t>
        </is>
      </c>
      <c r="B17" s="30" t="n">
        <v>0.3</v>
      </c>
      <c r="C17" s="13">
        <f>36*500</f>
        <v/>
      </c>
      <c r="D17" s="13">
        <f>B17*C17</f>
        <v/>
      </c>
      <c r="E17" s="2" t="inlineStr">
        <is>
          <t>Asked Duane 29 Sep. If confirmed before quoting, it goes into the MRC, not our margin.</t>
        </is>
      </c>
      <c r="F17" s="14" t="inlineStr">
        <is>
          <t>OPEN</t>
        </is>
      </c>
    </row>
    <row r="18">
      <c r="A18" s="4" t="inlineStr">
        <is>
          <t>Vodacom feasibility FAILS after build — client keeps current link; retainer only (lost Vodacom margin over 36m)</t>
        </is>
      </c>
      <c r="B18" s="30" t="n">
        <v>0.15</v>
      </c>
      <c r="C18" s="13">
        <f>36*'1. Inputs'!$B$7*'1. Inputs'!$B$8</f>
        <v/>
      </c>
      <c r="D18" s="13">
        <f>B18*C18</f>
        <v/>
      </c>
      <c r="E18" s="2" t="inlineStr">
        <is>
          <t>Make the order conditional on desktop feasibility; the build still stands on its own</t>
        </is>
      </c>
      <c r="F18" s="14" t="inlineStr">
        <is>
          <t>OPEN</t>
        </is>
      </c>
    </row>
    <row r="19"/>
    <row r="20">
      <c r="A20" s="31" t="inlineStr">
        <is>
          <t>Expected risk cost (sum of probability × exposure)</t>
        </is>
      </c>
      <c r="D20" s="32">
        <f>SUM(D5:D18)</f>
        <v/>
      </c>
    </row>
    <row r="21">
      <c r="A21" s="31" t="inlineStr">
        <is>
          <t>Worst case (every risk hits)</t>
        </is>
      </c>
      <c r="D21" s="32">
        <f>SUM(C5:C18)</f>
        <v/>
      </c>
    </row>
    <row r="22"/>
    <row r="23">
      <c r="A23" s="24" t="inlineStr">
        <is>
          <t>GP at the target price (from sheet 2)</t>
        </is>
      </c>
      <c r="D23" s="28">
        <f>'2. Cost Build-up'!$D$47</f>
        <v/>
      </c>
    </row>
    <row r="24">
      <c r="A24" s="24" t="inlineStr">
        <is>
          <t>GP after EXPECTED risk</t>
        </is>
      </c>
      <c r="D24" s="28">
        <f>'2. Cost Build-up'!$D$47-'3. Risk Register'!$D$20</f>
        <v/>
      </c>
    </row>
    <row r="25">
      <c r="A25" s="24" t="inlineStr">
        <is>
          <t>GP in the WORST case</t>
        </is>
      </c>
      <c r="D25" s="33">
        <f>'2. Cost Build-up'!$D$47-'3. Risk Register'!$D$21</f>
        <v/>
      </c>
    </row>
    <row r="26"/>
    <row r="27" ht="45" customHeight="1">
      <c r="A27" s="2" t="inlineStr">
        <is>
          <t>How to read this: if 'GP after expected risk' is still positive and acceptable, R305k is a price we can stand behind once the TBC lines are confirmed. If 'worst case' is negative, that is the amount we must protect with conditions (feasibility first, deposit before order, 4-day install in the labour line) or with a higher price.</t>
        </is>
      </c>
    </row>
  </sheetData>
  <mergeCells count="1">
    <mergeCell ref="A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Client view at this price — outright vs their own finance</t>
        </is>
      </c>
    </row>
    <row r="2">
      <c r="A2" s="2" t="inlineStr">
        <is>
          <t>Incl VAT. Current bill from Herotel invoice. CTTX monthly locked 36 months, then 8%; current provider +8%/yr from year 2 (assumption).</t>
        </is>
      </c>
    </row>
    <row r="4">
      <c r="A4" s="4" t="inlineStr">
        <is>
          <t>Vodacom BC 100 Mbps client MRC (incl VAT)</t>
        </is>
      </c>
      <c r="B4" s="34">
        <f>('1. Inputs'!$B$7+'1. Inputs'!$B$9)*(1+'1. Inputs'!$B$8)*(1+'1. Inputs'!$B$5)</f>
        <v/>
      </c>
    </row>
    <row r="5">
      <c r="A5" s="4" t="inlineStr">
        <is>
          <t>CTTX retainer (incl VAT)</t>
        </is>
      </c>
      <c r="B5" s="34">
        <f>'1. Inputs'!$B$11*(1+'1. Inputs'!$B$5)</f>
        <v/>
      </c>
    </row>
    <row r="6">
      <c r="A6" s="3" t="inlineStr">
        <is>
          <t>New monthly bill (incl VAT)</t>
        </is>
      </c>
      <c r="B6" s="27">
        <f>B4+B5</f>
        <v/>
      </c>
    </row>
    <row r="7">
      <c r="A7" s="3" t="inlineStr">
        <is>
          <t>Saving per month vs today</t>
        </is>
      </c>
      <c r="B7" s="27">
        <f>'1. Inputs'!$B$12-B6</f>
        <v/>
      </c>
    </row>
    <row r="8">
      <c r="A8" s="4" t="inlineStr">
        <is>
          <t>Upfront: build + Vodacom NRC (incl VAT)</t>
        </is>
      </c>
      <c r="B8" s="34">
        <f>'1. Inputs'!$B$6+'1. Inputs'!$B$10*(1+'1. Inputs'!$B$8)*(1+'1. Inputs'!$B$5)</f>
        <v/>
      </c>
    </row>
    <row r="9">
      <c r="A9" s="4" t="inlineStr">
        <is>
          <t>Simple payback (months)</t>
        </is>
      </c>
      <c r="B9" s="35">
        <f>B8/B7</f>
        <v/>
      </c>
    </row>
    <row r="11">
      <c r="A11" s="3" t="inlineStr">
        <is>
          <t>Year-by-year (cumulative, incl VAT)</t>
        </is>
      </c>
    </row>
    <row r="12">
      <c r="A12" s="10" t="inlineStr"/>
      <c r="B12" s="10" t="inlineStr">
        <is>
          <t>Year 0</t>
        </is>
      </c>
      <c r="C12" s="10" t="inlineStr">
        <is>
          <t>Year 1</t>
        </is>
      </c>
      <c r="D12" s="10" t="inlineStr">
        <is>
          <t>Year 2</t>
        </is>
      </c>
      <c r="E12" s="10" t="inlineStr">
        <is>
          <t>Year 3</t>
        </is>
      </c>
      <c r="F12" s="10" t="inlineStr">
        <is>
          <t>Year 4</t>
        </is>
      </c>
      <c r="G12" s="10" t="inlineStr">
        <is>
          <t>Year 5</t>
        </is>
      </c>
    </row>
    <row r="13">
      <c r="A13" t="inlineStr">
        <is>
          <t>Current provider cumulative</t>
        </is>
      </c>
      <c r="B13" s="13" t="n">
        <v>0</v>
      </c>
      <c r="C13" s="13">
        <f>B13+'1. Inputs'!$B$12*12*1.08^0</f>
        <v/>
      </c>
      <c r="D13" s="13">
        <f>C13+'1. Inputs'!$B$12*12*1.08^1</f>
        <v/>
      </c>
      <c r="E13" s="13">
        <f>D13+'1. Inputs'!$B$12*12*1.08^2</f>
        <v/>
      </c>
      <c r="F13" s="13">
        <f>E13+'1. Inputs'!$B$12*12*1.08^3</f>
        <v/>
      </c>
      <c r="G13" s="13">
        <f>F13+'1. Inputs'!$B$12*12*1.08^4</f>
        <v/>
      </c>
    </row>
    <row r="14">
      <c r="A14" t="inlineStr">
        <is>
          <t>CTTX path cumulative (upfront at year 0)</t>
        </is>
      </c>
      <c r="B14" s="13">
        <f>'4. Client ROI'!$B$8</f>
        <v/>
      </c>
      <c r="C14" s="13">
        <f>B14+'4. Client ROI'!$B$6*12*1</f>
        <v/>
      </c>
      <c r="D14" s="13">
        <f>C14+'4. Client ROI'!$B$6*12*1</f>
        <v/>
      </c>
      <c r="E14" s="13">
        <f>D14+'4. Client ROI'!$B$6*12*1</f>
        <v/>
      </c>
      <c r="F14" s="13">
        <f>E14+'4. Client ROI'!$B$6*12*1.08^1</f>
        <v/>
      </c>
      <c r="G14" s="13">
        <f>F14+'4. Client ROI'!$B$6*12*1.08^2</f>
        <v/>
      </c>
    </row>
    <row r="15">
      <c r="A15" s="3" t="inlineStr">
        <is>
          <t>Cumulative saving (current − CTTX)</t>
        </is>
      </c>
      <c r="B15" s="27">
        <f>B13-B14</f>
        <v/>
      </c>
      <c r="C15" s="27">
        <f>C13-C14</f>
        <v/>
      </c>
      <c r="D15" s="27">
        <f>D13-D14</f>
        <v/>
      </c>
      <c r="E15" s="27">
        <f>E13-E14</f>
        <v/>
      </c>
      <c r="F15" s="27">
        <f>F13-F14</f>
        <v/>
      </c>
      <c r="G15" s="27">
        <f>G13-G14</f>
        <v/>
      </c>
    </row>
    <row r="17">
      <c r="A17" s="3" t="inlineStr">
        <is>
          <t>36-month net (end of agreement)</t>
        </is>
      </c>
      <c r="B17" s="27">
        <f>E15</f>
        <v/>
      </c>
    </row>
    <row r="18">
      <c r="A18" s="3" t="inlineStr">
        <is>
          <t>5-year net</t>
        </is>
      </c>
      <c r="B18" s="27">
        <f>G15</f>
        <v/>
      </c>
    </row>
    <row r="20">
      <c r="A20" s="3" t="inlineStr">
        <is>
          <t>If the client finances the build themselves (they apply directly; CTTX is paid cash)</t>
        </is>
      </c>
    </row>
    <row r="21">
      <c r="A21" s="4" t="inlineStr">
        <is>
          <t>Finance rate p.a.</t>
        </is>
      </c>
      <c r="B21" s="36">
        <f>'1. Inputs'!$B$13</f>
        <v/>
      </c>
    </row>
    <row r="22">
      <c r="A22" s="4" t="inlineStr">
        <is>
          <t>Term (months)</t>
        </is>
      </c>
      <c r="B22" s="37">
        <f>'1. Inputs'!$B$14</f>
        <v/>
      </c>
    </row>
    <row r="23">
      <c r="A23" s="4" t="inlineStr">
        <is>
          <t>Monthly instalment on the build (incl VAT)</t>
        </is>
      </c>
      <c r="B23" s="34">
        <f>PMT('1. Inputs'!$B$13/12,'1. Inputs'!$B$14,-'1. Inputs'!$B$6)</f>
        <v/>
      </c>
    </row>
    <row r="24">
      <c r="A24" s="3" t="inlineStr">
        <is>
          <t>Total monthly during the term (instalment + connectivity + retainer)</t>
        </is>
      </c>
      <c r="B24" s="27">
        <f>B23+'4. Client ROI'!$B$6</f>
        <v/>
      </c>
    </row>
    <row r="25">
      <c r="A25" s="3" t="inlineStr">
        <is>
          <t>Versus today's bill (negative = cheaper than now)</t>
        </is>
      </c>
      <c r="B25" s="27">
        <f>B24-'1. Inputs'!$B$12</f>
        <v/>
      </c>
    </row>
    <row r="26">
      <c r="A26" s="4" t="inlineStr">
        <is>
          <t>Total finance cost over the term</t>
        </is>
      </c>
      <c r="B26" s="34">
        <f>B23*'1. Inputs'!$B$14-'1. Inputs'!$B$6</f>
        <v/>
      </c>
    </row>
    <row r="27">
      <c r="A27" s="3" t="inlineStr">
        <is>
          <t>Monthly after the term (network owned)</t>
        </is>
      </c>
      <c r="B27" s="27">
        <f>'4. Client ROI'!$B$6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Price × scenario — GP on the build (snapshot values, ex VAT; live model is sheets 1–3)</t>
        </is>
      </c>
    </row>
    <row r="2" ht="45" customHeight="1">
      <c r="A2" s="38" t="inlineStr">
        <is>
          <t>Cost scenarios: (a) Abel's BOM as sent (25 outdoor APs, 10 staff radios, 40m cable total, my TBC estimates); (b) model defaults (4 outdoor APs, 10 staff radios, 40m cable per site, TBC estimates); (c) all levers land (3 staff radios + 300m LAN, 6m mast R20k, bare cabinet R6k, 4 outdoor APs).</t>
        </is>
      </c>
    </row>
    <row r="4">
      <c r="A4" s="3" t="inlineStr">
        <is>
          <t>Cost scenario → GP (GP%)</t>
        </is>
      </c>
      <c r="B4" s="39" t="inlineStr">
        <is>
          <t>Sell R305,000 incl</t>
        </is>
      </c>
      <c r="C4" s="39" t="inlineStr">
        <is>
          <t>Sell R325,000 incl</t>
        </is>
      </c>
      <c r="D4" s="39" t="inlineStr">
        <is>
          <t>Sell R345,000 incl</t>
        </is>
      </c>
      <c r="E4" s="39" t="inlineStr">
        <is>
          <t>Sell R355,000 incl</t>
        </is>
      </c>
    </row>
    <row r="5">
      <c r="A5" s="3" t="inlineStr">
        <is>
          <t>(a) Abel BOM as sent  cost R258,562</t>
        </is>
      </c>
      <c r="B5" s="40" t="inlineStr">
        <is>
          <t>R6,655 (2.5%)</t>
        </is>
      </c>
      <c r="C5" s="41" t="inlineStr">
        <is>
          <t>R24,047 (8.5%)</t>
        </is>
      </c>
      <c r="D5" s="41" t="inlineStr">
        <is>
          <t>R41,438 (13.8%)</t>
        </is>
      </c>
      <c r="E5" s="42" t="inlineStr">
        <is>
          <t>R50,134 (16.2%)</t>
        </is>
      </c>
    </row>
    <row r="6">
      <c r="A6" s="3" t="inlineStr">
        <is>
          <t>(b) Model defaults  cost R252,022</t>
        </is>
      </c>
      <c r="B6" s="40" t="inlineStr">
        <is>
          <t>R13,196 (5.0%)</t>
        </is>
      </c>
      <c r="C6" s="41" t="inlineStr">
        <is>
          <t>R30,587 (10.8%)</t>
        </is>
      </c>
      <c r="D6" s="42" t="inlineStr">
        <is>
          <t>R47,978 (16.0%)</t>
        </is>
      </c>
      <c r="E6" s="42" t="inlineStr">
        <is>
          <t>R56,674 (18.4%)</t>
        </is>
      </c>
    </row>
    <row r="7">
      <c r="A7" s="3" t="inlineStr">
        <is>
          <t>(c) All levers land  cost R221,797</t>
        </is>
      </c>
      <c r="B7" s="42" t="inlineStr">
        <is>
          <t>R43,421 (16.4%)</t>
        </is>
      </c>
      <c r="C7" s="42" t="inlineStr">
        <is>
          <t>R60,812 (21.5%)</t>
        </is>
      </c>
      <c r="D7" s="42" t="inlineStr">
        <is>
          <t>R78,203 (26.1%)</t>
        </is>
      </c>
      <c r="E7" s="42" t="inlineStr">
        <is>
          <t>R86,899 (28.2%)</t>
        </is>
      </c>
    </row>
    <row r="9">
      <c r="A9" s="3" t="inlineStr">
        <is>
          <t>Price that holds 14.5% GP:</t>
        </is>
      </c>
    </row>
    <row r="10">
      <c r="A10" t="inlineStr">
        <is>
          <t>(a) Abel BOM as sent</t>
        </is>
      </c>
      <c r="B10" t="inlineStr">
        <is>
          <t>R347,773 incl VAT</t>
        </is>
      </c>
    </row>
    <row r="11">
      <c r="A11" t="inlineStr">
        <is>
          <t>(b) Model defaults</t>
        </is>
      </c>
      <c r="B11" t="inlineStr">
        <is>
          <t>R338,977 incl VAT</t>
        </is>
      </c>
    </row>
    <row r="12">
      <c r="A12" t="inlineStr">
        <is>
          <t>(c) All levers land</t>
        </is>
      </c>
      <c r="B12" t="inlineStr">
        <is>
          <t>R298,323 incl VAT</t>
        </is>
      </c>
    </row>
    <row r="14" ht="40" customHeight="1">
      <c r="A14" s="2" t="inlineStr">
        <is>
          <t>Reading: R305k only holds our margin if scenario (c) lands — staff-village clustering AND stock-priced mast/cabinet. At the model defaults, R345k is the price that keeps 14.5%; R305k leaves R13k before risk and goes negative after expected risk (sheet 3).</t>
        </is>
      </c>
    </row>
  </sheetData>
  <mergeCells count="2">
    <mergeCell ref="A14:H14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2026-09-29T13:44:39Z</dcterms:created>
  <dcterms:modified xsi:type="dcterms:W3CDTF">2026-09-29T14:01:07Z</dcterms:modified>
</cp:coreProperties>
</file>