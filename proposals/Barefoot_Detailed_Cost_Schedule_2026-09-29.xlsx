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Cost Schedule" sheetId="1" state="visible" r:id="rId1"/>
    <sheet name="Monthly Costs" sheetId="2" state="visible" r:id="rId2"/>
    <sheet name="Payment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&quot;#,##0.00"/>
    <numFmt numFmtId="165" formatCode="0.0"/>
    <numFmt numFmtId="166" formatCode="0.0%"/>
    <numFmt numFmtId="167" formatCode="&quot;R&quot;#,##0.00;[Red]-&quot;R&quot;#,##0.00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9"/>
    </font>
    <font>
      <name val="Calibri"/>
      <b val="1"/>
      <color rgb="00FFFFFF"/>
    </font>
    <font>
      <name val="Calibri"/>
      <b val="1"/>
      <sz val="11"/>
    </font>
    <font>
      <name val="Calibri"/>
      <color rgb="00777777"/>
    </font>
    <font>
      <name val="Calibri"/>
      <color rgb="00555555"/>
      <sz val="9"/>
    </font>
    <font>
      <name val="Calibri"/>
      <b val="1"/>
    </font>
    <font>
      <name val="Calibri"/>
      <b val="1"/>
      <sz val="12"/>
    </font>
    <font>
      <name val="Calibri"/>
      <sz val="10"/>
    </font>
    <font>
      <name val="Calibri"/>
      <b val="1"/>
      <color rgb="00008000"/>
      <sz val="12"/>
    </font>
  </fonts>
  <fills count="6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164" fontId="7" fillId="4" borderId="0" pivotButton="0" quotePrefix="0" xfId="0"/>
    <xf numFmtId="0" fontId="8" fillId="0" borderId="0" pivotButton="0" quotePrefix="0" xfId="0"/>
    <xf numFmtId="164" fontId="8" fillId="3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3" fillId="2" borderId="0" pivotButton="0" quotePrefix="0" xfId="0"/>
    <xf numFmtId="0" fontId="7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4" fontId="10" fillId="3" borderId="0" pivotButton="0" quotePrefix="0" xfId="0"/>
    <xf numFmtId="9" fontId="0" fillId="0" borderId="0" pivotButton="0" quotePrefix="0" xfId="0"/>
    <xf numFmtId="164" fontId="7" fillId="0" borderId="0" pivotButton="0" quotePrefix="0" xfId="0"/>
    <xf numFmtId="165" fontId="0" fillId="0" borderId="0" pivotButton="0" quotePrefix="0" xfId="0"/>
    <xf numFmtId="166" fontId="0" fillId="5" borderId="0" pivotButton="0" quotePrefix="0" xfId="0"/>
    <xf numFmtId="167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78" customWidth="1" min="2" max="2"/>
    <col width="8" customWidth="1" min="3" max="3"/>
    <col width="16" customWidth="1" min="4" max="4"/>
    <col width="18" customWidth="1" min="5" max="5"/>
    <col width="40" customWidth="1" min="6" max="6"/>
  </cols>
  <sheetData>
    <row r="1">
      <c r="A1" s="1" t="inlineStr">
        <is>
          <t>Barefoot Addo Elephant Lodge — Hybrid Network: Detailed Cost Schedule</t>
        </is>
      </c>
    </row>
    <row r="2">
      <c r="A2" s="2" t="inlineStr">
        <is>
          <t>CTTX Services (Pty) Ltd · Prepared for Barefoot Addo Elephant Lodge (Pty) Ltd · 29 September 2026 · All prices in ZAR, excluding VAT unless stated · Valid 30 days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Qty</t>
        </is>
      </c>
      <c r="D4" s="3" t="inlineStr">
        <is>
          <t>Unit price</t>
        </is>
      </c>
      <c r="E4" s="3" t="inlineStr">
        <is>
          <t>Line total</t>
        </is>
      </c>
      <c r="F4" s="3" t="inlineStr">
        <is>
          <t>Note</t>
        </is>
      </c>
    </row>
    <row r="5">
      <c r="A5" s="4" t="n"/>
      <c r="B5" s="5" t="inlineStr">
        <is>
          <t>A. Backbone — mast, base station and power</t>
        </is>
      </c>
      <c r="C5" s="4" t="n"/>
      <c r="D5" s="4" t="n"/>
      <c r="E5" s="4" t="n"/>
      <c r="F5" s="4" t="n"/>
    </row>
    <row r="6">
      <c r="A6" s="6" t="n">
        <v>1</v>
      </c>
      <c r="B6" s="7" t="inlineStr">
        <is>
          <t>6 m galvanised steel mast with concrete plinth, holding-down bolts and earthing, installed</t>
        </is>
      </c>
      <c r="C6" s="8" t="n">
        <v>1</v>
      </c>
      <c r="D6" s="9" t="n">
        <v>25943.84</v>
      </c>
      <c r="E6" s="9">
        <f>C6*D6</f>
        <v/>
      </c>
      <c r="F6" s="10" t="inlineStr">
        <is>
          <t>Replaces the existing gum pole</t>
        </is>
      </c>
    </row>
    <row r="7">
      <c r="A7" s="6" t="n">
        <v>2</v>
      </c>
      <c r="B7" s="7" t="inlineStr">
        <is>
          <t>Cambium ePMP 4500L base station radio (5 GHz)</t>
        </is>
      </c>
      <c r="C7" s="8" t="n">
        <v>2</v>
      </c>
      <c r="D7" s="9" t="n">
        <v>9988.379999999999</v>
      </c>
      <c r="E7" s="9">
        <f>C7*D7</f>
        <v/>
      </c>
      <c r="F7" s="10" t="inlineStr">
        <is>
          <t>Two sectors covering the whole property</t>
        </is>
      </c>
    </row>
    <row r="8">
      <c r="A8" s="6" t="n">
        <v>3</v>
      </c>
      <c r="B8" s="7" t="inlineStr">
        <is>
          <t>Sector antenna, 120°, with mounting kit</t>
        </is>
      </c>
      <c r="C8" s="8" t="n">
        <v>2</v>
      </c>
      <c r="D8" s="9" t="n">
        <v>3784.26</v>
      </c>
      <c r="E8" s="9">
        <f>C8*D8</f>
        <v/>
      </c>
      <c r="F8" s="10" t="inlineStr"/>
    </row>
    <row r="9">
      <c r="A9" s="6" t="n">
        <v>4</v>
      </c>
      <c r="B9" s="7" t="inlineStr">
        <is>
          <t>Weatherproof outdoor equipment cabinet</t>
        </is>
      </c>
      <c r="C9" s="8" t="n">
        <v>1</v>
      </c>
      <c r="D9" s="9" t="n">
        <v>9434.129999999999</v>
      </c>
      <c r="E9" s="9">
        <f>C9*D9</f>
        <v/>
      </c>
      <c r="F9" s="10" t="inlineStr"/>
    </row>
    <row r="10">
      <c r="A10" s="6" t="n">
        <v>5</v>
      </c>
      <c r="B10" s="7" t="inlineStr">
        <is>
          <t>Solar power system: 2 × 660 W panels, Victron MPPT charge controller, 5.3 kWh lithium (LFP) battery, 5 kW off-grid inverter, DC/AC distribution and protection</t>
        </is>
      </c>
      <c r="C10" s="8" t="n">
        <v>1</v>
      </c>
      <c r="D10" s="9" t="n">
        <v>30602.91</v>
      </c>
      <c r="E10" s="9">
        <f>C10*D10</f>
        <v/>
      </c>
      <c r="F10" s="10" t="inlineStr">
        <is>
          <t>Mast runs independently of Eskom</t>
        </is>
      </c>
    </row>
    <row r="11">
      <c r="B11" s="11" t="inlineStr">
        <is>
          <t>Subtotal — A. Backbone — mast, base station and power</t>
        </is>
      </c>
      <c r="E11" s="12">
        <f>SUM(E6:E10)</f>
        <v/>
      </c>
    </row>
    <row r="13">
      <c r="A13" s="4" t="n"/>
      <c r="B13" s="5" t="inlineStr">
        <is>
          <t>B. Distribution — wireless links to buildings</t>
        </is>
      </c>
      <c r="C13" s="4" t="n"/>
      <c r="D13" s="4" t="n"/>
      <c r="E13" s="4" t="n"/>
      <c r="F13" s="4" t="n"/>
    </row>
    <row r="14">
      <c r="A14" s="6" t="n">
        <v>6</v>
      </c>
      <c r="B14" s="7" t="inlineStr">
        <is>
          <t>Cambium ePMP Force 4525L subscriber radio, 25 dBi — main lodge, villas, spa, school, workshop and boma cluster</t>
        </is>
      </c>
      <c r="C14" s="8" t="n">
        <v>15</v>
      </c>
      <c r="D14" s="9" t="n">
        <v>3237.08</v>
      </c>
      <c r="E14" s="9">
        <f>C14*D14</f>
        <v/>
      </c>
      <c r="F14" s="10" t="inlineStr">
        <is>
          <t>One per building</t>
        </is>
      </c>
    </row>
    <row r="15">
      <c r="A15" s="6" t="n">
        <v>7</v>
      </c>
      <c r="B15" s="7" t="inlineStr">
        <is>
          <t>Cambium ePMP Force 4525L subscriber radio, 25 dBi — staff village and Director's House</t>
        </is>
      </c>
      <c r="C15" s="8" t="n">
        <v>10</v>
      </c>
      <c r="D15" s="9" t="n">
        <v>3237.08</v>
      </c>
      <c r="E15" s="9">
        <f>C15*D15</f>
        <v/>
      </c>
      <c r="F15" s="10" t="inlineStr">
        <is>
          <t>2.3–3 km links</t>
        </is>
      </c>
    </row>
    <row r="16">
      <c r="A16" s="6" t="n">
        <v>8</v>
      </c>
      <c r="B16" s="7" t="inlineStr">
        <is>
          <t>Radio mounting brackets and hardware</t>
        </is>
      </c>
      <c r="C16" s="8" t="n">
        <v>25</v>
      </c>
      <c r="D16" s="9" t="n">
        <v>530.67</v>
      </c>
      <c r="E16" s="9">
        <f>C16*D16</f>
        <v/>
      </c>
      <c r="F16" s="10" t="inlineStr"/>
    </row>
    <row r="17">
      <c r="A17" s="6" t="n">
        <v>9</v>
      </c>
      <c r="B17" s="7" t="inlineStr">
        <is>
          <t>Outdoor Ethernet cable, connectors and weatherproofing (average 40 m per building)</t>
        </is>
      </c>
      <c r="C17" s="8" t="n">
        <v>1000</v>
      </c>
      <c r="D17" s="9" t="n">
        <v>14.15</v>
      </c>
      <c r="E17" s="9">
        <f>C17*D17</f>
        <v/>
      </c>
      <c r="F17" s="10" t="inlineStr">
        <is>
          <t>Per metre</t>
        </is>
      </c>
    </row>
    <row r="18">
      <c r="B18" s="11" t="inlineStr">
        <is>
          <t>Subtotal — B. Distribution — wireless links to buildings</t>
        </is>
      </c>
      <c r="E18" s="12">
        <f>SUM(E14:E17)</f>
        <v/>
      </c>
    </row>
    <row r="20">
      <c r="A20" s="4" t="n"/>
      <c r="B20" s="5" t="inlineStr">
        <is>
          <t>C. Wi-Fi and switching</t>
        </is>
      </c>
      <c r="C20" s="4" t="n"/>
      <c r="D20" s="4" t="n"/>
      <c r="E20" s="4" t="n"/>
      <c r="F20" s="4" t="n"/>
    </row>
    <row r="21">
      <c r="A21" s="6" t="n">
        <v>10</v>
      </c>
      <c r="B21" s="7" t="inlineStr">
        <is>
          <t>Wi-Fi 6 indoor ceiling access point</t>
        </is>
      </c>
      <c r="C21" s="8" t="n">
        <v>22</v>
      </c>
      <c r="D21" s="9" t="n">
        <v>1208.75</v>
      </c>
      <c r="E21" s="9">
        <f>C21*D21</f>
        <v/>
      </c>
      <c r="F21" s="10" t="inlineStr">
        <is>
          <t>Guest rooms, staff houses, offices</t>
        </is>
      </c>
    </row>
    <row r="22">
      <c r="A22" s="6" t="n">
        <v>11</v>
      </c>
      <c r="B22" s="7" t="inlineStr">
        <is>
          <t>Wi-Fi 6 outdoor access point</t>
        </is>
      </c>
      <c r="C22" s="8" t="n">
        <v>4</v>
      </c>
      <c r="D22" s="9" t="n">
        <v>2222.92</v>
      </c>
      <c r="E22" s="9">
        <f>C22*D22</f>
        <v/>
      </c>
      <c r="F22" s="10" t="inlineStr">
        <is>
          <t>Main lodge, villa, boma and spa exteriors</t>
        </is>
      </c>
    </row>
    <row r="23">
      <c r="A23" s="6" t="n">
        <v>12</v>
      </c>
      <c r="B23" s="7" t="inlineStr">
        <is>
          <t>8-port gigabit PoE+ managed switch (cloud-managed)</t>
        </is>
      </c>
      <c r="C23" s="8" t="n">
        <v>2</v>
      </c>
      <c r="D23" s="9" t="n">
        <v>2239.43</v>
      </c>
      <c r="E23" s="9">
        <f>C23*D23</f>
        <v/>
      </c>
      <c r="F23" s="10" t="inlineStr"/>
    </row>
    <row r="24">
      <c r="A24" s="6" t="n">
        <v>13</v>
      </c>
      <c r="B24" s="7" t="inlineStr">
        <is>
          <t>6-port PoE switch</t>
        </is>
      </c>
      <c r="C24" s="8" t="n">
        <v>2</v>
      </c>
      <c r="D24" s="9" t="n">
        <v>766.52</v>
      </c>
      <c r="E24" s="9">
        <f>C24*D24</f>
        <v/>
      </c>
      <c r="F24" s="10" t="inlineStr"/>
    </row>
    <row r="25">
      <c r="A25" s="6" t="n">
        <v>14</v>
      </c>
      <c r="B25" s="7" t="inlineStr">
        <is>
          <t>4U wall-mount equipment enclosure</t>
        </is>
      </c>
      <c r="C25" s="8" t="n">
        <v>4</v>
      </c>
      <c r="D25" s="9" t="n">
        <v>707.5599999999999</v>
      </c>
      <c r="E25" s="9">
        <f>C25*D25</f>
        <v/>
      </c>
      <c r="F25" s="10" t="inlineStr"/>
    </row>
    <row r="26">
      <c r="B26" s="11" t="inlineStr">
        <is>
          <t>Subtotal — C. Wi-Fi and switching</t>
        </is>
      </c>
      <c r="E26" s="12">
        <f>SUM(E21:E25)</f>
        <v/>
      </c>
    </row>
    <row r="28">
      <c r="A28" s="4" t="n"/>
      <c r="B28" s="5" t="inlineStr">
        <is>
          <t>D. Installation, commissioning and handover</t>
        </is>
      </c>
      <c r="C28" s="4" t="n"/>
      <c r="D28" s="4" t="n"/>
      <c r="E28" s="4" t="n"/>
      <c r="F28" s="4" t="n"/>
    </row>
    <row r="29">
      <c r="A29" s="6" t="n">
        <v>15</v>
      </c>
      <c r="B29" s="7" t="inlineStr">
        <is>
          <t>Site survey, RF design and link planning</t>
        </is>
      </c>
      <c r="C29" s="8" t="n">
        <v>1</v>
      </c>
      <c r="D29" s="9" t="n">
        <v>5306.7</v>
      </c>
      <c r="E29" s="9">
        <f>C29*D29</f>
        <v/>
      </c>
      <c r="F29" s="10" t="inlineStr">
        <is>
          <t>Completed 22 Sep 2026</t>
        </is>
      </c>
    </row>
    <row r="30">
      <c r="A30" s="6" t="n">
        <v>16</v>
      </c>
      <c r="B30" s="7" t="inlineStr">
        <is>
          <t>Installation — two-technician team, mast, radios, access points, cabling and power</t>
        </is>
      </c>
      <c r="C30" s="8" t="n">
        <v>3</v>
      </c>
      <c r="D30" s="9" t="n">
        <v>10613.39</v>
      </c>
      <c r="E30" s="9">
        <f>C30*D30</f>
        <v/>
      </c>
      <c r="F30" s="10" t="inlineStr">
        <is>
          <t>Per day</t>
        </is>
      </c>
    </row>
    <row r="31">
      <c r="A31" s="6" t="n">
        <v>17</v>
      </c>
      <c r="B31" s="7" t="inlineStr">
        <is>
          <t>Commissioning, link testing and Wi-Fi coverage verification</t>
        </is>
      </c>
      <c r="C31" s="8" t="n">
        <v>1</v>
      </c>
      <c r="D31" s="9" t="n">
        <v>5306.7</v>
      </c>
      <c r="E31" s="9">
        <f>C31*D31</f>
        <v/>
      </c>
      <c r="F31" s="10" t="inlineStr"/>
    </row>
    <row r="32">
      <c r="A32" s="6" t="n">
        <v>18</v>
      </c>
      <c r="B32" s="7" t="inlineStr">
        <is>
          <t>Documentation, training and handover</t>
        </is>
      </c>
      <c r="C32" s="8" t="n">
        <v>1</v>
      </c>
      <c r="D32" s="9" t="n">
        <v>2654.55</v>
      </c>
      <c r="E32" s="9">
        <f>C32*D32</f>
        <v/>
      </c>
      <c r="F32" s="10" t="inlineStr"/>
    </row>
    <row r="33">
      <c r="B33" s="11" t="inlineStr">
        <is>
          <t>Subtotal — D. Installation, commissioning and handover</t>
        </is>
      </c>
      <c r="E33" s="12">
        <f>SUM(E29:E32)</f>
        <v/>
      </c>
    </row>
    <row r="35">
      <c r="B35" s="13" t="inlineStr">
        <is>
          <t>TOTAL — network build, excluding VAT</t>
        </is>
      </c>
      <c r="E35" s="14">
        <f>E11+E18+E26+E33</f>
        <v/>
      </c>
    </row>
    <row r="36">
      <c r="B36" t="inlineStr">
        <is>
          <t>VAT at 15%</t>
        </is>
      </c>
      <c r="E36" s="15">
        <f>E35*0.15</f>
        <v/>
      </c>
    </row>
    <row r="37">
      <c r="B37" s="13" t="inlineStr">
        <is>
          <t>TOTAL — network build, including VAT</t>
        </is>
      </c>
      <c r="E37" s="14">
        <f>E35+E36</f>
        <v/>
      </c>
    </row>
    <row r="39" ht="30" customHeight="1">
      <c r="B39" s="16" t="inlineStr">
        <is>
          <t>Payment terms: 50% on order (secures the equipment allocation and places the order), 50% on commissioning.</t>
        </is>
      </c>
    </row>
    <row r="40" ht="30" customHeight="1">
      <c r="B40" s="16" t="inlineStr">
        <is>
          <t>Ownership: all equipment, the mast, the cabinet and the power system are the property of Barefoot Addo Elephant Lodge (Pty) Ltd on handover.</t>
        </is>
      </c>
    </row>
    <row r="41" ht="30" customHeight="1">
      <c r="B41" s="16" t="inlineStr">
        <is>
          <t>Included: design, delivery to site, installation, configuration, testing, documentation and training. Manufacturer warranties apply (Cambium 12 months; extended 2-year cover available as an option on request).</t>
        </is>
      </c>
    </row>
    <row r="42" ht="30" customHeight="1">
      <c r="B42" s="16" t="inlineStr">
        <is>
          <t>Not included: the Vodacom carrier link (see Monthly Costs), trenching or civil works beyond the mast plinth, Eskom connections, and any building works.</t>
        </is>
      </c>
    </row>
  </sheetData>
  <mergeCells count="4">
    <mergeCell ref="B40:F40"/>
    <mergeCell ref="B39:F39"/>
    <mergeCell ref="B41:F41"/>
    <mergeCell ref="B42:F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Monthly costs — today versus after the build</t>
        </is>
      </c>
    </row>
    <row r="2">
      <c r="A2" s="2" t="inlineStr">
        <is>
          <t>Including VAT. Current figures from the lodge's August 2026 invoice. Proposed figures fixed for the 36-month agreement.</t>
        </is>
      </c>
    </row>
    <row r="4">
      <c r="A4" s="17" t="inlineStr">
        <is>
          <t>Item</t>
        </is>
      </c>
      <c r="B4" s="17" t="inlineStr">
        <is>
          <t>Excl. VAT</t>
        </is>
      </c>
      <c r="C4" s="17" t="inlineStr">
        <is>
          <t>Incl. VAT</t>
        </is>
      </c>
      <c r="D4" s="17" t="inlineStr">
        <is>
          <t>Note</t>
        </is>
      </c>
    </row>
    <row r="5">
      <c r="A5" s="18" t="inlineStr">
        <is>
          <t>Today — current provider</t>
        </is>
      </c>
    </row>
    <row r="6">
      <c r="A6" t="inlineStr">
        <is>
          <t>Business wireless 100 Mbps symmetrical (shared) + static IP</t>
        </is>
      </c>
      <c r="B6" s="15" t="n">
        <v>10179</v>
      </c>
      <c r="C6" s="15">
        <f>B6*1.15</f>
        <v/>
      </c>
      <c r="D6" s="19" t="inlineStr">
        <is>
          <t>Rented connection</t>
        </is>
      </c>
    </row>
    <row r="7">
      <c r="A7" t="inlineStr">
        <is>
          <t>Rented Wi-Fi access points — 23 units on 12- and 24-month terms</t>
        </is>
      </c>
      <c r="B7" s="15" t="n">
        <v>5267</v>
      </c>
      <c r="C7" s="15">
        <f>B7*1.15</f>
        <v/>
      </c>
      <c r="D7" s="19" t="inlineStr">
        <is>
          <t>Rented, never owned</t>
        </is>
      </c>
    </row>
    <row r="8">
      <c r="A8" t="inlineStr">
        <is>
          <t>Managed Wi-Fi service (2 sites)</t>
        </is>
      </c>
      <c r="B8" s="15" t="n">
        <v>298</v>
      </c>
      <c r="C8" s="15">
        <f>B8*1.15</f>
        <v/>
      </c>
      <c r="D8" s="19" t="inlineStr"/>
    </row>
    <row r="9">
      <c r="A9" s="11" t="inlineStr">
        <is>
          <t>Current monthly total</t>
        </is>
      </c>
      <c r="B9" s="15">
        <f>SUM(B6:B8)</f>
        <v/>
      </c>
      <c r="C9" s="12">
        <f>SUM(C6:C8)</f>
        <v/>
      </c>
    </row>
    <row r="11">
      <c r="A11" s="18" t="inlineStr">
        <is>
          <t>After the build — CTTX hybrid network</t>
        </is>
      </c>
    </row>
    <row r="12" ht="30" customHeight="1">
      <c r="A12" s="20" t="inlineStr">
        <is>
          <t>Vodacom Business Connect 100 Mbps — uncontended 1:1, symmetrical, uncapped, unshaped, Business SLA, LTE backup, static IP (36-month term)</t>
        </is>
      </c>
      <c r="B12" s="15" t="n">
        <v>4982.45</v>
      </c>
      <c r="C12" s="15">
        <f>B12*1.15</f>
        <v/>
      </c>
      <c r="D12" s="19" t="inlineStr">
        <is>
          <t>Carrier link, fixed for 36 months</t>
        </is>
      </c>
    </row>
    <row r="13" ht="30" customHeight="1">
      <c r="A13" s="20" t="inlineStr">
        <is>
          <t>CTTX managed service: remote monitoring, maintenance, quarterly site visits, priority support</t>
        </is>
      </c>
      <c r="B13" s="15" t="n">
        <v>1500</v>
      </c>
      <c r="C13" s="15">
        <f>B13*1.15</f>
        <v/>
      </c>
      <c r="D13" s="19" t="inlineStr">
        <is>
          <t>Fixed for 36 months</t>
        </is>
      </c>
    </row>
    <row r="14" ht="30" customHeight="1">
      <c r="A14" s="20" t="inlineStr">
        <is>
          <t>Wi-Fi equipment rental</t>
        </is>
      </c>
      <c r="B14" s="15" t="n">
        <v>0</v>
      </c>
      <c r="C14" s="15">
        <f>B14*1.15</f>
        <v/>
      </c>
      <c r="D14" s="19" t="inlineStr">
        <is>
          <t>None — the lodge owns the network</t>
        </is>
      </c>
    </row>
    <row r="15">
      <c r="A15" s="11" t="inlineStr">
        <is>
          <t>Proposed monthly total</t>
        </is>
      </c>
      <c r="B15" s="15">
        <f>SUM(B12:B14)</f>
        <v/>
      </c>
      <c r="C15" s="12">
        <f>SUM(C12:C14)</f>
        <v/>
      </c>
    </row>
    <row r="17">
      <c r="A17" s="13" t="inlineStr">
        <is>
          <t>Monthly saving</t>
        </is>
      </c>
      <c r="B17" s="15">
        <f>B9-B15</f>
        <v/>
      </c>
      <c r="C17" s="21">
        <f>C9-C15</f>
        <v/>
      </c>
    </row>
    <row r="18">
      <c r="A18" t="inlineStr">
        <is>
          <t>Reduction in the monthly bill</t>
        </is>
      </c>
      <c r="C18" s="22">
        <f>C17/C9</f>
        <v/>
      </c>
    </row>
    <row r="19">
      <c r="A19" t="inlineStr">
        <is>
          <t>Saving per year</t>
        </is>
      </c>
      <c r="C19" s="15">
        <f>C17*12</f>
        <v/>
      </c>
    </row>
    <row r="20">
      <c r="A20" t="inlineStr">
        <is>
          <t>Saving over the 36-month agreement</t>
        </is>
      </c>
      <c r="C20" s="23">
        <f>C17*36</f>
        <v/>
      </c>
    </row>
    <row r="22">
      <c r="A22" s="11" t="inlineStr">
        <is>
          <t>Once-off: Vodacom connection fee</t>
        </is>
      </c>
      <c r="B22" s="15" t="n">
        <v>3129.4</v>
      </c>
      <c r="C22" s="15">
        <f>B22*1.15</f>
        <v/>
      </c>
      <c r="D22" s="19" t="inlineStr">
        <is>
          <t>Payable once the link is installed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44" customWidth="1" min="3" max="3"/>
  </cols>
  <sheetData>
    <row r="1">
      <c r="A1" s="1" t="inlineStr">
        <is>
          <t>Two ways to pay for the same network</t>
        </is>
      </c>
    </row>
    <row r="2">
      <c r="A2" s="2" t="inlineStr">
        <is>
          <t>Including VAT. Option 2 is an illustration of an asset-finance facility the lodge would arrange directly with its bank or a finance house; CTTX is not the lender.</t>
        </is>
      </c>
    </row>
    <row r="4">
      <c r="A4" s="18" t="inlineStr">
        <is>
          <t>Option 1 — Buy outright</t>
        </is>
      </c>
    </row>
    <row r="5">
      <c r="A5" t="inlineStr">
        <is>
          <t>Network build (incl. VAT)</t>
        </is>
      </c>
      <c r="B5" s="15">
        <f>'Detailed Cost Schedule'!E37</f>
        <v/>
      </c>
    </row>
    <row r="6">
      <c r="A6" t="inlineStr">
        <is>
          <t>50% on order</t>
        </is>
      </c>
      <c r="B6" s="15">
        <f>B5*0.5</f>
        <v/>
      </c>
    </row>
    <row r="7">
      <c r="A7" t="inlineStr">
        <is>
          <t>50% on commissioning</t>
        </is>
      </c>
      <c r="B7" s="15">
        <f>B5*0.5</f>
        <v/>
      </c>
    </row>
    <row r="8">
      <c r="A8" t="inlineStr">
        <is>
          <t>Monthly thereafter (carrier + managed service)</t>
        </is>
      </c>
      <c r="B8" s="15">
        <f>'Monthly Costs'!C15</f>
        <v/>
      </c>
    </row>
    <row r="9">
      <c r="A9" t="inlineStr">
        <is>
          <t>Monthly saving vs today</t>
        </is>
      </c>
      <c r="B9" s="15">
        <f>'Monthly Costs'!C17</f>
        <v/>
      </c>
    </row>
    <row r="10">
      <c r="A10" t="inlineStr">
        <is>
          <t>Build cost recovered from savings in (months)</t>
        </is>
      </c>
      <c r="B10" s="24">
        <f>B5/B9</f>
        <v/>
      </c>
    </row>
    <row r="12">
      <c r="A12" s="18" t="inlineStr">
        <is>
          <t>Option 2 — Finance the build over 36 months (illustration)</t>
        </is>
      </c>
    </row>
    <row r="13">
      <c r="A13" t="inlineStr">
        <is>
          <t>Indicative interest rate p.a.</t>
        </is>
      </c>
      <c r="B13" s="25" t="n">
        <v>0.12</v>
      </c>
      <c r="C13" s="19" t="inlineStr">
        <is>
          <t>Editable — subject to the lender's terms</t>
        </is>
      </c>
    </row>
    <row r="14">
      <c r="A14" t="inlineStr">
        <is>
          <t>Term (months)</t>
        </is>
      </c>
      <c r="B14" t="n">
        <v>36</v>
      </c>
    </row>
    <row r="15">
      <c r="A15" t="inlineStr">
        <is>
          <t>Monthly instalment on the build</t>
        </is>
      </c>
      <c r="B15" s="15">
        <f>PMT(B13/12,B14,-B5)</f>
        <v/>
      </c>
    </row>
    <row r="16">
      <c r="A16" t="inlineStr">
        <is>
          <t>Plus carrier + managed service</t>
        </is>
      </c>
      <c r="B16" s="15">
        <f>'Monthly Costs'!C15</f>
        <v/>
      </c>
    </row>
    <row r="17">
      <c r="A17" s="11" t="inlineStr">
        <is>
          <t>Total per month during the 36 months</t>
        </is>
      </c>
      <c r="B17" s="12">
        <f>B15+B16</f>
        <v/>
      </c>
    </row>
    <row r="18">
      <c r="A18" t="inlineStr">
        <is>
          <t>Today's monthly bill, for comparison</t>
        </is>
      </c>
      <c r="B18" s="15">
        <f>'Monthly Costs'!C9</f>
        <v/>
      </c>
    </row>
    <row r="19">
      <c r="A19" s="11" t="inlineStr">
        <is>
          <t>Difference per month (negative = less than today)</t>
        </is>
      </c>
      <c r="B19" s="26">
        <f>B17-B18</f>
        <v/>
      </c>
    </row>
    <row r="20">
      <c r="A20" t="inlineStr">
        <is>
          <t>From month 37: network owned outright, monthly drops to</t>
        </is>
      </c>
      <c r="B20" s="15">
        <f>'Monthly Costs'!C15</f>
        <v/>
      </c>
    </row>
    <row r="22" ht="45" customHeight="1">
      <c r="A22" s="20" t="inlineStr">
        <is>
          <t>Either way the lodge owns the mast, radios, Wi-Fi and power system; the only recurring items are the carrier link and CTTX support. The order is placed only once Vodacom has confirmed feasibility of the link to the mast position.</t>
        </is>
      </c>
    </row>
  </sheetData>
  <mergeCells count="1"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2026-09-29T13:52:14Z</dcterms:created>
  <dcterms:modified xsi:type="dcterms:W3CDTF">2026-09-29T13:52:14Z</dcterms:modified>
</cp:coreProperties>
</file>