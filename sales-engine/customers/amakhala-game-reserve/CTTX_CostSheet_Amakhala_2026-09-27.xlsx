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8" customWidth="1" min="3" max="3"/>
    <col width="16" customWidth="1" min="4" max="4"/>
    <col width="16" customWidth="1" min="5" max="5"/>
  </cols>
  <sheetData>
    <row r="1">
      <c r="A1" s="1" t="inlineStr">
        <is>
          <t>CTTX Services | Amakhala Game Reserve | Phase 1 working cost sheet | 2026-09-27 | CTTX Standard Rate Card May 2026 (ZAR excl VAT) | INTERNAL</t>
        </is>
      </c>
      <c r="D1" s="2" t="n"/>
      <c r="E1" s="2" t="n"/>
    </row>
    <row r="2">
      <c r="D2" s="2" t="n"/>
      <c r="E2" s="2" t="n"/>
    </row>
    <row r="3">
      <c r="A3" s="3" t="inlineStr">
        <is>
          <t>1. Hardware</t>
        </is>
      </c>
      <c r="D3" s="2" t="n"/>
      <c r="E3" s="2" t="n"/>
    </row>
    <row r="4">
      <c r="A4" s="1" t="inlineStr">
        <is>
          <t>Item</t>
        </is>
      </c>
      <c r="B4" s="1" t="inlineStr">
        <is>
          <t>Model / Unit</t>
        </is>
      </c>
      <c r="C4" s="1" t="inlineStr">
        <is>
          <t>Qty</t>
        </is>
      </c>
      <c r="D4" s="4" t="inlineStr">
        <is>
          <t>Unit (R ex VAT)</t>
        </is>
      </c>
      <c r="E4" s="4" t="inlineStr">
        <is>
          <t>Line total</t>
        </is>
      </c>
    </row>
    <row r="5">
      <c r="A5" t="inlineStr">
        <is>
          <t>HQ core PoE+ switch</t>
        </is>
      </c>
      <c r="B5" t="inlineStr">
        <is>
          <t>Cambium cnMatrix EX2028-P</t>
        </is>
      </c>
      <c r="C5" t="n">
        <v>1</v>
      </c>
      <c r="D5" s="2" t="n">
        <v>14500</v>
      </c>
      <c r="E5" s="2">
        <f>C5*D5</f>
        <v/>
      </c>
    </row>
    <row r="6">
      <c r="A6" t="inlineStr">
        <is>
          <t>Carrier failover gateway (dual-SIM LTE)</t>
        </is>
      </c>
      <c r="B6" t="inlineStr">
        <is>
          <t>Teltonika RUTX11</t>
        </is>
      </c>
      <c r="C6" t="n">
        <v>1</v>
      </c>
      <c r="D6" s="2" t="n">
        <v>5800</v>
      </c>
      <c r="E6" s="2">
        <f>C6*D6</f>
        <v/>
      </c>
    </row>
    <row r="7">
      <c r="A7" t="inlineStr">
        <is>
          <t>HQ UPS 1kVA</t>
        </is>
      </c>
      <c r="B7" t="inlineStr">
        <is>
          <t>APC SMT1000I</t>
        </is>
      </c>
      <c r="C7" t="n">
        <v>1</v>
      </c>
      <c r="D7" s="2" t="n">
        <v>6200</v>
      </c>
      <c r="E7" s="2">
        <f>C7*D7</f>
        <v/>
      </c>
    </row>
    <row r="8">
      <c r="A8" t="inlineStr">
        <is>
          <t>HQ wall rack 12U</t>
        </is>
      </c>
      <c r="B8" t="inlineStr">
        <is>
          <t>Lexi 12U</t>
        </is>
      </c>
      <c r="C8" t="n">
        <v>1</v>
      </c>
      <c r="D8" s="2" t="n">
        <v>2800</v>
      </c>
      <c r="E8" s="2">
        <f>C8*D8</f>
        <v/>
      </c>
    </row>
    <row r="9">
      <c r="A9" t="inlineStr">
        <is>
          <t>Backbone HQ -&gt; High Site 1 (long range)</t>
        </is>
      </c>
      <c r="B9" t="inlineStr">
        <is>
          <t>Cambium PTP 820S pair</t>
        </is>
      </c>
      <c r="C9" t="n">
        <v>1</v>
      </c>
      <c r="D9" s="2" t="n">
        <v>42000</v>
      </c>
      <c r="E9" s="2">
        <f>C9*D9</f>
        <v/>
      </c>
    </row>
    <row r="10">
      <c r="A10" t="inlineStr">
        <is>
          <t>Relay High Site 1 -&gt; High Site 2</t>
        </is>
      </c>
      <c r="B10" t="inlineStr">
        <is>
          <t>Cambium PTP 450b pair</t>
        </is>
      </c>
      <c r="C10" t="n">
        <v>1</v>
      </c>
      <c r="D10" s="2" t="n">
        <v>18400</v>
      </c>
      <c r="E10" s="2">
        <f>C10*D10</f>
        <v/>
      </c>
    </row>
    <row r="11">
      <c r="A11" t="inlineStr">
        <is>
          <t>Distribution sectors (2 per high site)</t>
        </is>
      </c>
      <c r="B11" t="inlineStr">
        <is>
          <t>Cambium ePMP 3000</t>
        </is>
      </c>
      <c r="C11" t="n">
        <v>4</v>
      </c>
      <c r="D11" s="2" t="n">
        <v>8500</v>
      </c>
      <c r="E11" s="2">
        <f>C11*D11</f>
        <v/>
      </c>
    </row>
    <row r="12">
      <c r="A12" t="inlineStr">
        <is>
          <t>Ops Wi-Fi: HQ, main gate, APU base, workshop</t>
        </is>
      </c>
      <c r="B12" t="inlineStr">
        <is>
          <t>Cambium cnPilot e410</t>
        </is>
      </c>
      <c r="C12" t="n">
        <v>4</v>
      </c>
      <c r="D12" s="2" t="n">
        <v>3200</v>
      </c>
      <c r="E12" s="2">
        <f>C12*D12</f>
        <v/>
      </c>
    </row>
    <row r="13">
      <c r="A13" t="inlineStr">
        <is>
          <t>Surge protection Ethernet</t>
        </is>
      </c>
      <c r="B13" t="inlineStr">
        <is>
          <t>Citel P8DT-48</t>
        </is>
      </c>
      <c r="C13" t="n">
        <v>12</v>
      </c>
      <c r="D13" s="2" t="n">
        <v>680</v>
      </c>
      <c r="E13" s="2">
        <f>C13*D13</f>
        <v/>
      </c>
    </row>
    <row r="14">
      <c r="A14" t="inlineStr">
        <is>
          <t>LoRaWAN gateway (fence/water/fuel sensors)</t>
        </is>
      </c>
      <c r="B14" t="inlineStr">
        <is>
          <t>Dragino DLOS8</t>
        </is>
      </c>
      <c r="C14" t="n">
        <v>1</v>
      </c>
      <c r="D14" s="2" t="n">
        <v>4200</v>
      </c>
      <c r="E14" s="2">
        <f>C14*D14</f>
        <v/>
      </c>
    </row>
    <row r="15">
      <c r="A15" t="inlineStr">
        <is>
          <t>Main gate / HQ cameras 4MP IR</t>
        </is>
      </c>
      <c r="B15" t="inlineStr">
        <is>
          <t>Dahua IPC-HFW2849S</t>
        </is>
      </c>
      <c r="C15" t="n">
        <v>4</v>
      </c>
      <c r="D15" s="2" t="n">
        <v>1850</v>
      </c>
      <c r="E15" s="2">
        <f>C15*D15</f>
        <v/>
      </c>
    </row>
    <row r="16">
      <c r="A16" t="inlineStr">
        <is>
          <t>High-site solar 400W</t>
        </is>
      </c>
      <c r="B16" t="inlineStr">
        <is>
          <t>400W panel</t>
        </is>
      </c>
      <c r="C16" t="n">
        <v>4</v>
      </c>
      <c r="D16" s="2" t="n">
        <v>3200</v>
      </c>
      <c r="E16" s="2">
        <f>C16*D16</f>
        <v/>
      </c>
    </row>
    <row r="17">
      <c r="A17" t="inlineStr">
        <is>
          <t>High-site LiFePO4 200Ah (5-day autonomy)</t>
        </is>
      </c>
      <c r="B17" t="inlineStr">
        <is>
          <t>200Ah LiFePO4</t>
        </is>
      </c>
      <c r="C17" t="n">
        <v>4</v>
      </c>
      <c r="D17" s="2" t="n">
        <v>8200</v>
      </c>
      <c r="E17" s="2">
        <f>C17*D17</f>
        <v/>
      </c>
    </row>
    <row r="18">
      <c r="A18" t="inlineStr">
        <is>
          <t>High-site MPPT 30A</t>
        </is>
      </c>
      <c r="B18" t="inlineStr">
        <is>
          <t>30A MPPT</t>
        </is>
      </c>
      <c r="C18" t="n">
        <v>2</v>
      </c>
      <c r="D18" s="2" t="n">
        <v>1200</v>
      </c>
      <c r="E18" s="2">
        <f>C18*D18</f>
        <v/>
      </c>
    </row>
    <row r="19">
      <c r="A19" t="inlineStr">
        <is>
          <t>SS antenna pole mounts</t>
        </is>
      </c>
      <c r="B19" t="inlineStr">
        <is>
          <t>SS pole mount</t>
        </is>
      </c>
      <c r="C19" t="n">
        <v>6</v>
      </c>
      <c r="D19" s="2" t="n">
        <v>450</v>
      </c>
      <c r="E19" s="2">
        <f>C19*D19</f>
        <v/>
      </c>
    </row>
    <row r="20">
      <c r="D20" s="4" t="inlineStr">
        <is>
          <t>Subtotal</t>
        </is>
      </c>
      <c r="E20" s="4">
        <f>SUM(E5:E19)</f>
        <v/>
      </c>
    </row>
    <row r="21">
      <c r="D21" s="2" t="n"/>
      <c r="E21" s="2" t="n"/>
    </row>
    <row r="22">
      <c r="A22" s="1" t="inlineStr">
        <is>
          <t>Price on application (not on rate card; excluded from totals)</t>
        </is>
      </c>
      <c r="D22" s="2" t="n"/>
      <c r="E22" s="2" t="n"/>
    </row>
    <row r="23">
      <c r="A23" t="inlineStr">
        <is>
          <t>Subscriber modules: lodges, APU base, ecology, workshop</t>
        </is>
      </c>
      <c r="B23" t="inlineStr">
        <is>
          <t>Cambium ePMP Force-series SM</t>
        </is>
      </c>
      <c r="C23" t="n">
        <v>10</v>
      </c>
      <c r="D23" s="2" t="inlineStr">
        <is>
          <t>POA</t>
        </is>
      </c>
      <c r="E23" s="2" t="n"/>
    </row>
    <row r="24">
      <c r="A24" t="inlineStr">
        <is>
          <t>High-site masts and mounting steel (2 sites)</t>
        </is>
      </c>
      <c r="B24" t="inlineStr">
        <is>
          <t>Mast / steel</t>
        </is>
      </c>
      <c r="C24" t="n">
        <v>2</v>
      </c>
      <c r="D24" s="2" t="inlineStr">
        <is>
          <t>POA</t>
        </is>
      </c>
      <c r="E24" s="2" t="n"/>
    </row>
    <row r="25">
      <c r="A25" t="inlineStr">
        <is>
          <t>NVR for gate/HQ cameras</t>
        </is>
      </c>
      <c r="B25" t="inlineStr">
        <is>
          <t>NVR 8-ch</t>
        </is>
      </c>
      <c r="C25" t="n">
        <v>1</v>
      </c>
      <c r="D25" s="2" t="inlineStr">
        <is>
          <t>POA</t>
        </is>
      </c>
      <c r="E25" s="2" t="n"/>
    </row>
    <row r="26">
      <c r="A26" t="inlineStr">
        <is>
          <t>PoE injectors (solar-site radios)</t>
        </is>
      </c>
      <c r="B26" t="inlineStr">
        <is>
          <t>PoE injector</t>
        </is>
      </c>
      <c r="C26" t="n">
        <v>6</v>
      </c>
      <c r="D26" s="2" t="inlineStr">
        <is>
          <t>POA</t>
        </is>
      </c>
      <c r="E26" s="2" t="n"/>
    </row>
    <row r="27">
      <c r="D27" s="2" t="n"/>
      <c r="E27" s="2" t="n"/>
    </row>
    <row r="28">
      <c r="A28" s="3" t="inlineStr">
        <is>
          <t>2. Cable &amp; civil (measured)</t>
        </is>
      </c>
      <c r="D28" s="2" t="n"/>
      <c r="E28" s="2" t="n"/>
    </row>
    <row r="29">
      <c r="A29" s="1" t="inlineStr">
        <is>
          <t>Item</t>
        </is>
      </c>
      <c r="B29" s="1" t="inlineStr">
        <is>
          <t>Model / Unit</t>
        </is>
      </c>
      <c r="C29" s="1" t="inlineStr">
        <is>
          <t>Qty</t>
        </is>
      </c>
      <c r="D29" s="4" t="inlineStr">
        <is>
          <t>Unit (R ex VAT)</t>
        </is>
      </c>
      <c r="E29" s="4" t="inlineStr">
        <is>
          <t>Line total</t>
        </is>
      </c>
    </row>
    <row r="30">
      <c r="A30" t="inlineStr">
        <is>
          <t>CAT6A armoured outdoor buried</t>
        </is>
      </c>
      <c r="B30" t="inlineStr">
        <is>
          <t>Belden 7971A</t>
        </is>
      </c>
      <c r="C30" t="n">
        <v>300</v>
      </c>
      <c r="D30" s="2" t="n">
        <v>45</v>
      </c>
      <c r="E30" s="2">
        <f>C30*D30</f>
        <v/>
      </c>
    </row>
    <row r="31">
      <c r="A31" t="inlineStr">
        <is>
          <t>CAT6A STP indoor</t>
        </is>
      </c>
      <c r="B31" t="inlineStr">
        <is>
          <t>Belden 10GX</t>
        </is>
      </c>
      <c r="C31" t="n">
        <v>150</v>
      </c>
      <c r="D31" s="2" t="n">
        <v>28</v>
      </c>
      <c r="E31" s="2">
        <f>C31*D31</f>
        <v/>
      </c>
    </row>
    <row r="32">
      <c r="A32" t="inlineStr">
        <is>
          <t>HDPE conduit 25mm</t>
        </is>
      </c>
      <c r="B32" t="inlineStr">
        <is>
          <t>HDPE 25mm</t>
        </is>
      </c>
      <c r="C32" t="n">
        <v>300</v>
      </c>
      <c r="D32" s="2" t="n">
        <v>18</v>
      </c>
      <c r="E32" s="2">
        <f>C32*D32</f>
        <v/>
      </c>
    </row>
    <row r="33">
      <c r="D33" s="4" t="inlineStr">
        <is>
          <t>Subtotal</t>
        </is>
      </c>
      <c r="E33" s="4">
        <f>SUM(E30:E32)</f>
        <v/>
      </c>
    </row>
    <row r="34">
      <c r="D34" s="2" t="n"/>
      <c r="E34" s="2" t="n"/>
    </row>
    <row r="35">
      <c r="A35" s="1" t="inlineStr">
        <is>
          <t>3. Trenching: TBD after survey @ R180-350/m (standard to rocky). Directional drilling R450-800/m where needed.</t>
        </is>
      </c>
      <c r="D35" s="2" t="n"/>
      <c r="E35" s="2" t="n"/>
    </row>
    <row r="36">
      <c r="D36" s="2" t="n"/>
      <c r="E36" s="2" t="n"/>
    </row>
    <row r="37">
      <c r="A37" s="3" t="inlineStr">
        <is>
          <t>4. Labour</t>
        </is>
      </c>
      <c r="D37" s="2" t="n"/>
      <c r="E37" s="2" t="n"/>
    </row>
    <row r="38">
      <c r="A38" s="1" t="inlineStr">
        <is>
          <t>Item</t>
        </is>
      </c>
      <c r="B38" s="1" t="inlineStr">
        <is>
          <t>Model / Unit</t>
        </is>
      </c>
      <c r="C38" s="1" t="inlineStr">
        <is>
          <t>Qty</t>
        </is>
      </c>
      <c r="D38" s="4" t="inlineStr">
        <is>
          <t>Unit (R ex VAT)</t>
        </is>
      </c>
      <c r="E38" s="4" t="inlineStr">
        <is>
          <t>Line total</t>
        </is>
      </c>
    </row>
    <row r="39">
      <c r="A39" t="inlineStr">
        <is>
          <t>Site survey, terrain/LOS validation &amp; design</t>
        </is>
      </c>
      <c r="B39" t="inlineStr">
        <is>
          <t>days</t>
        </is>
      </c>
      <c r="C39" t="n">
        <v>3</v>
      </c>
      <c r="D39" s="2" t="n">
        <v>4500</v>
      </c>
      <c r="E39" s="2">
        <f>C39*D39</f>
        <v/>
      </c>
    </row>
    <row r="40">
      <c r="A40" t="inlineStr">
        <is>
          <t>2-tech installation team</t>
        </is>
      </c>
      <c r="B40" t="inlineStr">
        <is>
          <t>days</t>
        </is>
      </c>
      <c r="C40" t="n">
        <v>10</v>
      </c>
      <c r="D40" s="2" t="n">
        <v>9000</v>
      </c>
      <c r="E40" s="2">
        <f>C40*D40</f>
        <v/>
      </c>
    </row>
    <row r="41">
      <c r="A41" t="inlineStr">
        <is>
          <t>Travel &amp; accommodation (2 people x 10 nights)</t>
        </is>
      </c>
      <c r="B41" t="inlineStr">
        <is>
          <t>person-nights</t>
        </is>
      </c>
      <c r="C41" t="n">
        <v>20</v>
      </c>
      <c r="D41" s="2" t="n">
        <v>1200</v>
      </c>
      <c r="E41" s="2">
        <f>C41*D41</f>
        <v/>
      </c>
    </row>
    <row r="42">
      <c r="A42" t="inlineStr">
        <is>
          <t>Cable pulling &amp; termination</t>
        </is>
      </c>
      <c r="B42" t="inlineStr">
        <is>
          <t>days</t>
        </is>
      </c>
      <c r="C42" t="n">
        <v>3</v>
      </c>
      <c r="D42" s="2" t="n">
        <v>4500</v>
      </c>
      <c r="E42" s="2">
        <f>C42*D42</f>
        <v/>
      </c>
    </row>
    <row r="43">
      <c r="A43" t="inlineStr">
        <is>
          <t>Commissioning &amp; testing</t>
        </is>
      </c>
      <c r="B43" t="inlineStr">
        <is>
          <t>days</t>
        </is>
      </c>
      <c r="C43" t="n">
        <v>3</v>
      </c>
      <c r="D43" s="2" t="n">
        <v>4500</v>
      </c>
      <c r="E43" s="2">
        <f>C43*D43</f>
        <v/>
      </c>
    </row>
    <row r="44">
      <c r="A44" t="inlineStr">
        <is>
          <t>Documentation &amp; handover</t>
        </is>
      </c>
      <c r="B44" t="inlineStr">
        <is>
          <t>half-days</t>
        </is>
      </c>
      <c r="C44" t="n">
        <v>2</v>
      </c>
      <c r="D44" s="2" t="n">
        <v>2250</v>
      </c>
      <c r="E44" s="2">
        <f>C44*D44</f>
        <v/>
      </c>
    </row>
    <row r="45">
      <c r="D45" s="4" t="inlineStr">
        <is>
          <t>Subtotal</t>
        </is>
      </c>
      <c r="E45" s="4">
        <f>SUM(E39:E44)</f>
        <v/>
      </c>
    </row>
    <row r="46">
      <c r="D46" s="2" t="n"/>
      <c r="E46" s="2" t="n"/>
    </row>
    <row r="47">
      <c r="A47" s="1" t="inlineStr">
        <is>
          <t>5. Subtotal (1+2+4)</t>
        </is>
      </c>
      <c r="D47" s="2" t="n"/>
      <c r="E47" s="4">
        <f>E20+E33+E45</f>
        <v/>
      </c>
    </row>
    <row r="48">
      <c r="A48" t="inlineStr">
        <is>
          <t>6. Contingency 10%</t>
        </is>
      </c>
      <c r="D48" s="2" t="n"/>
      <c r="E48" s="2">
        <f>E47*0.1</f>
        <v/>
      </c>
    </row>
    <row r="49">
      <c r="A49" s="1" t="inlineStr">
        <is>
          <t>7. Project total excl trenching</t>
        </is>
      </c>
      <c r="D49" s="2" t="n"/>
      <c r="E49" s="4">
        <f>E47+E48</f>
        <v/>
      </c>
    </row>
    <row r="50">
      <c r="A50" t="inlineStr">
        <is>
          <t>8. VAT 15%</t>
        </is>
      </c>
      <c r="D50" s="2" t="n"/>
      <c r="E50" s="2">
        <f>E49*0.15</f>
        <v/>
      </c>
    </row>
    <row r="51">
      <c r="A51" s="1" t="inlineStr">
        <is>
          <t>9. Total incl VAT (trenching VAT TBD)</t>
        </is>
      </c>
      <c r="D51" s="2" t="n"/>
      <c r="E51" s="4">
        <f>E49+E50</f>
        <v/>
      </c>
    </row>
    <row r="52">
      <c r="D52" s="2" t="n"/>
      <c r="E52" s="2" t="n"/>
    </row>
    <row r="53">
      <c r="A53" s="1" t="inlineStr">
        <is>
          <t>10. Monthly recurring (24-month term, Vodacom via CTTX; Notion rate card 15 Jun 2026; feasibility via Duane Forlee)</t>
        </is>
      </c>
      <c r="D53" s="2" t="n"/>
      <c r="E53" s="2" t="n"/>
    </row>
    <row r="54">
      <c r="A54" t="inlineStr">
        <is>
          <t>Business Connect 200 Mbps 1:1 (recommended)</t>
        </is>
      </c>
      <c r="D54" s="2" t="n"/>
      <c r="E54" s="2" t="n">
        <v>9424</v>
      </c>
    </row>
    <row r="55">
      <c r="A55" t="inlineStr">
        <is>
          <t>LTE failover 20 Mbps</t>
        </is>
      </c>
      <c r="D55" s="2" t="n"/>
      <c r="E55" s="2" t="n">
        <v>521</v>
      </c>
    </row>
    <row r="56">
      <c r="A56" s="1" t="inlineStr">
        <is>
          <t>Monthly recurring subtotal ex VAT</t>
        </is>
      </c>
      <c r="D56" s="2" t="n"/>
      <c r="E56" s="4">
        <f>SUM(E54:E55)</f>
        <v/>
      </c>
    </row>
    <row r="57">
      <c r="A57" t="inlineStr">
        <is>
          <t>24-month contract value ex VAT</t>
        </is>
      </c>
      <c r="D57" s="2" t="n"/>
      <c r="E57" s="2">
        <f>E56*24</f>
        <v/>
      </c>
    </row>
    <row r="58">
      <c r="A58" t="inlineStr">
        <is>
          <t>Once-off carrier NRC ex VAT</t>
        </is>
      </c>
      <c r="D58" s="2" t="n"/>
      <c r="E58" s="2" t="n">
        <v>3444</v>
      </c>
    </row>
    <row r="59">
      <c r="A59" t="inlineStr">
        <is>
          <t>Alt: Business Connect 100 Mbps</t>
        </is>
      </c>
      <c r="D59" s="2" t="n"/>
      <c r="E59" s="2" t="n">
        <v>7103</v>
      </c>
    </row>
    <row r="60">
      <c r="D60" s="2" t="n"/>
      <c r="E60" s="2" t="n"/>
    </row>
    <row r="61">
      <c r="A61" s="1" t="inlineStr">
        <is>
          <t>11. Optional managed service retainer (monitoring, cnMaestro, Victron VRM, NOC)</t>
        </is>
      </c>
      <c r="D61" s="2" t="n"/>
      <c r="E61" s="2" t="inlineStr">
        <is>
          <t>R3,500-5,500/month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2026-09-27T19:24:02Z</dcterms:created>
  <dcterms:modified xsi:type="dcterms:W3CDTF">2026-09-27T19:24:02Z</dcterms:modified>
</cp:coreProperties>
</file>